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92.168.50.250\共有\公共工事\7_書類作成用雛形\"/>
    </mc:Choice>
  </mc:AlternateContent>
  <xr:revisionPtr revIDLastSave="0" documentId="13_ncr:1_{DEA3CCAB-FD1D-40F3-935B-D7746BDFE52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使い方" sheetId="1" r:id="rId1"/>
    <sheet name="入力シート（LED工事用）" sheetId="2" r:id="rId2"/>
    <sheet name="表紙" sheetId="3" r:id="rId3"/>
    <sheet name="内訳明細書" sheetId="4" r:id="rId4"/>
    <sheet name="①材料費　内訳(1)" sheetId="5" r:id="rId5"/>
    <sheet name="①材料費　内訳(2)" sheetId="6" r:id="rId6"/>
    <sheet name="①材料費　内訳(3)" sheetId="7" r:id="rId7"/>
    <sheet name="①材料費　内訳(4)" sheetId="8" r:id="rId8"/>
    <sheet name="①材料費　内訳(5)" sheetId="9" r:id="rId9"/>
    <sheet name="①材料費　内訳(6)" sheetId="10" r:id="rId10"/>
    <sheet name="①材料費　内訳(7)" sheetId="11" r:id="rId11"/>
    <sheet name="①材料費　内訳(8)" sheetId="12" r:id="rId12"/>
  </sheets>
  <definedNames>
    <definedName name="HD_106">表紙!#REF!</definedName>
    <definedName name="M_002">#REF!</definedName>
    <definedName name="_xlnm.Print_Area" localSheetId="4">'①材料費　内訳(1)'!$A$1:$H$20</definedName>
    <definedName name="_xlnm.Print_Area" localSheetId="5">'①材料費　内訳(2)'!$A$1:$H$20</definedName>
    <definedName name="_xlnm.Print_Area" localSheetId="6">'①材料費　内訳(3)'!$A$1:$H$20</definedName>
    <definedName name="_xlnm.Print_Area" localSheetId="7">'①材料費　内訳(4)'!$A$1:$H$20</definedName>
    <definedName name="_xlnm.Print_Area" localSheetId="8">'①材料費　内訳(5)'!$A$1:$H$20</definedName>
    <definedName name="_xlnm.Print_Area" localSheetId="9">'①材料費　内訳(6)'!$A$1:$H$20</definedName>
    <definedName name="_xlnm.Print_Area" localSheetId="10">'①材料費　内訳(7)'!$A$1:$H$20</definedName>
    <definedName name="_xlnm.Print_Area" localSheetId="11">'①材料費　内訳(8)'!$A$1:$H$20</definedName>
    <definedName name="_xlnm.Print_Area" localSheetId="0">使い方!$A$1:$F$27</definedName>
    <definedName name="_xlnm.Print_Area" localSheetId="3">内訳明細書!$A$1:$G$21</definedName>
    <definedName name="_xlnm.Print_Area" localSheetId="2">表紙!$A$1:$S$29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" l="1"/>
  <c r="F5" i="7" s="1"/>
  <c r="G45" i="2"/>
  <c r="E5" i="7" s="1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E12" i="12"/>
  <c r="D12" i="12"/>
  <c r="C12" i="12"/>
  <c r="B12" i="12"/>
  <c r="A12" i="12"/>
  <c r="D11" i="12"/>
  <c r="C11" i="12"/>
  <c r="B11" i="12"/>
  <c r="A11" i="12"/>
  <c r="D10" i="12"/>
  <c r="C10" i="12"/>
  <c r="B10" i="12"/>
  <c r="A10" i="12"/>
  <c r="D9" i="12"/>
  <c r="C9" i="12"/>
  <c r="B9" i="12"/>
  <c r="A9" i="12"/>
  <c r="D8" i="12"/>
  <c r="C8" i="12"/>
  <c r="B8" i="12"/>
  <c r="A8" i="12"/>
  <c r="D7" i="12"/>
  <c r="C7" i="12"/>
  <c r="B7" i="12"/>
  <c r="A7" i="12"/>
  <c r="D6" i="12"/>
  <c r="C6" i="12"/>
  <c r="B6" i="12"/>
  <c r="A6" i="12"/>
  <c r="D5" i="12"/>
  <c r="C5" i="12"/>
  <c r="B5" i="12"/>
  <c r="A5" i="12"/>
  <c r="D19" i="11"/>
  <c r="C19" i="11"/>
  <c r="B19" i="11"/>
  <c r="A19" i="11"/>
  <c r="D18" i="11"/>
  <c r="C18" i="11"/>
  <c r="B18" i="11"/>
  <c r="A18" i="11"/>
  <c r="D17" i="11"/>
  <c r="C17" i="11"/>
  <c r="B17" i="11"/>
  <c r="A17" i="11"/>
  <c r="D16" i="11"/>
  <c r="C16" i="11"/>
  <c r="B16" i="11"/>
  <c r="A16" i="11"/>
  <c r="D15" i="11"/>
  <c r="C15" i="11"/>
  <c r="B15" i="11"/>
  <c r="A15" i="11"/>
  <c r="D14" i="11"/>
  <c r="C14" i="11"/>
  <c r="B14" i="11"/>
  <c r="A14" i="11"/>
  <c r="D13" i="11"/>
  <c r="C13" i="11"/>
  <c r="B13" i="11"/>
  <c r="A13" i="11"/>
  <c r="D12" i="11"/>
  <c r="C12" i="11"/>
  <c r="B12" i="11"/>
  <c r="A12" i="11"/>
  <c r="D11" i="11"/>
  <c r="C11" i="11"/>
  <c r="B11" i="11"/>
  <c r="A11" i="11"/>
  <c r="F10" i="11"/>
  <c r="D10" i="11"/>
  <c r="C10" i="11"/>
  <c r="B10" i="11"/>
  <c r="A10" i="11"/>
  <c r="D9" i="11"/>
  <c r="C9" i="11"/>
  <c r="B9" i="11"/>
  <c r="A9" i="11"/>
  <c r="D8" i="11"/>
  <c r="C8" i="11"/>
  <c r="B8" i="11"/>
  <c r="A8" i="11"/>
  <c r="D7" i="11"/>
  <c r="C7" i="11"/>
  <c r="B7" i="11"/>
  <c r="A7" i="11"/>
  <c r="D6" i="11"/>
  <c r="C6" i="11"/>
  <c r="B6" i="11"/>
  <c r="A6" i="11"/>
  <c r="D5" i="11"/>
  <c r="C5" i="11"/>
  <c r="B5" i="11"/>
  <c r="A5" i="11"/>
  <c r="E19" i="10"/>
  <c r="D19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D8" i="10"/>
  <c r="C8" i="10"/>
  <c r="B8" i="10"/>
  <c r="A8" i="10"/>
  <c r="D7" i="10"/>
  <c r="C7" i="10"/>
  <c r="B7" i="10"/>
  <c r="A7" i="10"/>
  <c r="D6" i="10"/>
  <c r="C6" i="10"/>
  <c r="B6" i="10"/>
  <c r="A6" i="10"/>
  <c r="D5" i="10"/>
  <c r="C5" i="10"/>
  <c r="B5" i="10"/>
  <c r="A5" i="10"/>
  <c r="D19" i="9"/>
  <c r="C19" i="9"/>
  <c r="B19" i="9"/>
  <c r="A19" i="9"/>
  <c r="D18" i="9"/>
  <c r="C18" i="9"/>
  <c r="B18" i="9"/>
  <c r="A18" i="9"/>
  <c r="D17" i="9"/>
  <c r="C17" i="9"/>
  <c r="B17" i="9"/>
  <c r="A17" i="9"/>
  <c r="D16" i="9"/>
  <c r="C16" i="9"/>
  <c r="B16" i="9"/>
  <c r="A16" i="9"/>
  <c r="D15" i="9"/>
  <c r="C15" i="9"/>
  <c r="B15" i="9"/>
  <c r="A15" i="9"/>
  <c r="D14" i="9"/>
  <c r="C14" i="9"/>
  <c r="B14" i="9"/>
  <c r="A14" i="9"/>
  <c r="D13" i="9"/>
  <c r="C13" i="9"/>
  <c r="B13" i="9"/>
  <c r="A13" i="9"/>
  <c r="D12" i="9"/>
  <c r="C12" i="9"/>
  <c r="B12" i="9"/>
  <c r="A12" i="9"/>
  <c r="D11" i="9"/>
  <c r="C11" i="9"/>
  <c r="B11" i="9"/>
  <c r="A11" i="9"/>
  <c r="D10" i="9"/>
  <c r="C10" i="9"/>
  <c r="B10" i="9"/>
  <c r="A10" i="9"/>
  <c r="D9" i="9"/>
  <c r="C9" i="9"/>
  <c r="B9" i="9"/>
  <c r="A9" i="9"/>
  <c r="D8" i="9"/>
  <c r="C8" i="9"/>
  <c r="B8" i="9"/>
  <c r="A8" i="9"/>
  <c r="D7" i="9"/>
  <c r="C7" i="9"/>
  <c r="B7" i="9"/>
  <c r="A7" i="9"/>
  <c r="D6" i="9"/>
  <c r="C6" i="9"/>
  <c r="B6" i="9"/>
  <c r="A6" i="9"/>
  <c r="D5" i="9"/>
  <c r="C5" i="9"/>
  <c r="B5" i="9"/>
  <c r="A5" i="9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F10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F12" i="4"/>
  <c r="F10" i="4" s="1"/>
  <c r="P9" i="4"/>
  <c r="P8" i="4"/>
  <c r="B14" i="3"/>
  <c r="A5" i="3"/>
  <c r="D135" i="2"/>
  <c r="H134" i="2"/>
  <c r="F19" i="12" s="1"/>
  <c r="G134" i="2"/>
  <c r="E19" i="12" s="1"/>
  <c r="H133" i="2"/>
  <c r="F18" i="12" s="1"/>
  <c r="G133" i="2"/>
  <c r="E18" i="12" s="1"/>
  <c r="H132" i="2"/>
  <c r="F17" i="12" s="1"/>
  <c r="G132" i="2"/>
  <c r="E17" i="12" s="1"/>
  <c r="H131" i="2"/>
  <c r="F16" i="12" s="1"/>
  <c r="G131" i="2"/>
  <c r="E16" i="12" s="1"/>
  <c r="H130" i="2"/>
  <c r="F15" i="12" s="1"/>
  <c r="G130" i="2"/>
  <c r="E15" i="12" s="1"/>
  <c r="H129" i="2"/>
  <c r="F14" i="12" s="1"/>
  <c r="G129" i="2"/>
  <c r="E14" i="12" s="1"/>
  <c r="H128" i="2"/>
  <c r="F13" i="12" s="1"/>
  <c r="G128" i="2"/>
  <c r="E13" i="12" s="1"/>
  <c r="H127" i="2"/>
  <c r="F12" i="12" s="1"/>
  <c r="G127" i="2"/>
  <c r="H126" i="2"/>
  <c r="F11" i="12" s="1"/>
  <c r="G126" i="2"/>
  <c r="E11" i="12" s="1"/>
  <c r="H125" i="2"/>
  <c r="F10" i="12" s="1"/>
  <c r="G125" i="2"/>
  <c r="E10" i="12" s="1"/>
  <c r="H124" i="2"/>
  <c r="F9" i="12" s="1"/>
  <c r="G124" i="2"/>
  <c r="E9" i="12" s="1"/>
  <c r="H123" i="2"/>
  <c r="F8" i="12" s="1"/>
  <c r="G123" i="2"/>
  <c r="E8" i="12" s="1"/>
  <c r="H122" i="2"/>
  <c r="F7" i="12" s="1"/>
  <c r="G122" i="2"/>
  <c r="E7" i="12" s="1"/>
  <c r="H121" i="2"/>
  <c r="F6" i="12" s="1"/>
  <c r="G121" i="2"/>
  <c r="E6" i="12" s="1"/>
  <c r="H120" i="2"/>
  <c r="F5" i="12" s="1"/>
  <c r="G120" i="2"/>
  <c r="E5" i="12" s="1"/>
  <c r="H119" i="2"/>
  <c r="F19" i="11" s="1"/>
  <c r="G119" i="2"/>
  <c r="E19" i="11" s="1"/>
  <c r="H118" i="2"/>
  <c r="F18" i="11" s="1"/>
  <c r="G118" i="2"/>
  <c r="E18" i="11" s="1"/>
  <c r="H117" i="2"/>
  <c r="F17" i="11" s="1"/>
  <c r="G117" i="2"/>
  <c r="E17" i="11" s="1"/>
  <c r="H116" i="2"/>
  <c r="F16" i="11" s="1"/>
  <c r="G116" i="2"/>
  <c r="E16" i="11" s="1"/>
  <c r="H115" i="2"/>
  <c r="F15" i="11" s="1"/>
  <c r="G115" i="2"/>
  <c r="E15" i="11" s="1"/>
  <c r="H114" i="2"/>
  <c r="F14" i="11" s="1"/>
  <c r="G114" i="2"/>
  <c r="E14" i="11" s="1"/>
  <c r="H113" i="2"/>
  <c r="F13" i="11" s="1"/>
  <c r="G113" i="2"/>
  <c r="E13" i="11" s="1"/>
  <c r="H112" i="2"/>
  <c r="F12" i="11" s="1"/>
  <c r="G112" i="2"/>
  <c r="E12" i="11" s="1"/>
  <c r="H111" i="2"/>
  <c r="F11" i="11" s="1"/>
  <c r="G111" i="2"/>
  <c r="E11" i="11" s="1"/>
  <c r="H110" i="2"/>
  <c r="G110" i="2"/>
  <c r="E10" i="11" s="1"/>
  <c r="H109" i="2"/>
  <c r="F9" i="11" s="1"/>
  <c r="G109" i="2"/>
  <c r="E9" i="11" s="1"/>
  <c r="H108" i="2"/>
  <c r="F8" i="11" s="1"/>
  <c r="G108" i="2"/>
  <c r="E8" i="11" s="1"/>
  <c r="H107" i="2"/>
  <c r="F7" i="11" s="1"/>
  <c r="G107" i="2"/>
  <c r="E7" i="11" s="1"/>
  <c r="H106" i="2"/>
  <c r="F6" i="11" s="1"/>
  <c r="G106" i="2"/>
  <c r="E6" i="11" s="1"/>
  <c r="H105" i="2"/>
  <c r="F5" i="11" s="1"/>
  <c r="G105" i="2"/>
  <c r="E5" i="11" s="1"/>
  <c r="H104" i="2"/>
  <c r="F19" i="10" s="1"/>
  <c r="G104" i="2"/>
  <c r="H103" i="2"/>
  <c r="F18" i="10" s="1"/>
  <c r="G103" i="2"/>
  <c r="E18" i="10" s="1"/>
  <c r="H102" i="2"/>
  <c r="F17" i="10" s="1"/>
  <c r="G102" i="2"/>
  <c r="E17" i="10" s="1"/>
  <c r="H101" i="2"/>
  <c r="F16" i="10" s="1"/>
  <c r="G101" i="2"/>
  <c r="E16" i="10" s="1"/>
  <c r="H100" i="2"/>
  <c r="F15" i="10" s="1"/>
  <c r="G100" i="2"/>
  <c r="E15" i="10" s="1"/>
  <c r="H99" i="2"/>
  <c r="F14" i="10" s="1"/>
  <c r="G99" i="2"/>
  <c r="E14" i="10" s="1"/>
  <c r="H98" i="2"/>
  <c r="F13" i="10" s="1"/>
  <c r="G98" i="2"/>
  <c r="E13" i="10" s="1"/>
  <c r="H97" i="2"/>
  <c r="F12" i="10" s="1"/>
  <c r="G97" i="2"/>
  <c r="E12" i="10" s="1"/>
  <c r="H96" i="2"/>
  <c r="F11" i="10" s="1"/>
  <c r="G96" i="2"/>
  <c r="E11" i="10" s="1"/>
  <c r="H95" i="2"/>
  <c r="F10" i="10" s="1"/>
  <c r="G95" i="2"/>
  <c r="E10" i="10" s="1"/>
  <c r="H94" i="2"/>
  <c r="F9" i="10" s="1"/>
  <c r="G94" i="2"/>
  <c r="E9" i="10" s="1"/>
  <c r="H93" i="2"/>
  <c r="F8" i="10" s="1"/>
  <c r="G93" i="2"/>
  <c r="E8" i="10" s="1"/>
  <c r="H92" i="2"/>
  <c r="F7" i="10" s="1"/>
  <c r="G92" i="2"/>
  <c r="E7" i="10" s="1"/>
  <c r="H91" i="2"/>
  <c r="F6" i="10" s="1"/>
  <c r="G91" i="2"/>
  <c r="E6" i="10" s="1"/>
  <c r="H90" i="2"/>
  <c r="F5" i="10" s="1"/>
  <c r="G90" i="2"/>
  <c r="E5" i="10" s="1"/>
  <c r="H89" i="2"/>
  <c r="F19" i="9" s="1"/>
  <c r="G89" i="2"/>
  <c r="E19" i="9" s="1"/>
  <c r="H88" i="2"/>
  <c r="F18" i="9" s="1"/>
  <c r="G88" i="2"/>
  <c r="E18" i="9" s="1"/>
  <c r="G87" i="2"/>
  <c r="H87" i="2" s="1"/>
  <c r="F17" i="9" s="1"/>
  <c r="H86" i="2"/>
  <c r="F16" i="9" s="1"/>
  <c r="G86" i="2"/>
  <c r="E16" i="9" s="1"/>
  <c r="H85" i="2"/>
  <c r="F15" i="9" s="1"/>
  <c r="G85" i="2"/>
  <c r="E15" i="9" s="1"/>
  <c r="H84" i="2"/>
  <c r="F14" i="9" s="1"/>
  <c r="G84" i="2"/>
  <c r="E14" i="9" s="1"/>
  <c r="H83" i="2"/>
  <c r="F13" i="9" s="1"/>
  <c r="G83" i="2"/>
  <c r="E13" i="9" s="1"/>
  <c r="H82" i="2"/>
  <c r="F12" i="9" s="1"/>
  <c r="G82" i="2"/>
  <c r="E12" i="9" s="1"/>
  <c r="H81" i="2"/>
  <c r="F11" i="9" s="1"/>
  <c r="G81" i="2"/>
  <c r="E11" i="9" s="1"/>
  <c r="H80" i="2"/>
  <c r="F10" i="9" s="1"/>
  <c r="G80" i="2"/>
  <c r="E10" i="9" s="1"/>
  <c r="H79" i="2"/>
  <c r="F9" i="9" s="1"/>
  <c r="G79" i="2"/>
  <c r="E9" i="9" s="1"/>
  <c r="H78" i="2"/>
  <c r="F8" i="9" s="1"/>
  <c r="G78" i="2"/>
  <c r="E8" i="9" s="1"/>
  <c r="H77" i="2"/>
  <c r="F7" i="9" s="1"/>
  <c r="G77" i="2"/>
  <c r="E7" i="9" s="1"/>
  <c r="H76" i="2"/>
  <c r="F6" i="9" s="1"/>
  <c r="G76" i="2"/>
  <c r="E6" i="9" s="1"/>
  <c r="H75" i="2"/>
  <c r="F5" i="9" s="1"/>
  <c r="G75" i="2"/>
  <c r="E5" i="9" s="1"/>
  <c r="H74" i="2"/>
  <c r="F19" i="8" s="1"/>
  <c r="G74" i="2"/>
  <c r="E19" i="8" s="1"/>
  <c r="H73" i="2"/>
  <c r="F18" i="8" s="1"/>
  <c r="G73" i="2"/>
  <c r="E18" i="8" s="1"/>
  <c r="H72" i="2"/>
  <c r="F17" i="8" s="1"/>
  <c r="G72" i="2"/>
  <c r="E17" i="8" s="1"/>
  <c r="H71" i="2"/>
  <c r="F16" i="8" s="1"/>
  <c r="G71" i="2"/>
  <c r="E16" i="8" s="1"/>
  <c r="H70" i="2"/>
  <c r="F15" i="8" s="1"/>
  <c r="G70" i="2"/>
  <c r="E15" i="8" s="1"/>
  <c r="H69" i="2"/>
  <c r="F14" i="8" s="1"/>
  <c r="G69" i="2"/>
  <c r="E14" i="8" s="1"/>
  <c r="H68" i="2"/>
  <c r="F13" i="8" s="1"/>
  <c r="G68" i="2"/>
  <c r="E13" i="8" s="1"/>
  <c r="H67" i="2"/>
  <c r="F12" i="8" s="1"/>
  <c r="G67" i="2"/>
  <c r="E12" i="8" s="1"/>
  <c r="H66" i="2"/>
  <c r="F11" i="8" s="1"/>
  <c r="G66" i="2"/>
  <c r="E11" i="8" s="1"/>
  <c r="H65" i="2"/>
  <c r="F10" i="8" s="1"/>
  <c r="G65" i="2"/>
  <c r="E10" i="8" s="1"/>
  <c r="H64" i="2"/>
  <c r="F9" i="8" s="1"/>
  <c r="G64" i="2"/>
  <c r="E9" i="8" s="1"/>
  <c r="H63" i="2"/>
  <c r="F8" i="8" s="1"/>
  <c r="G63" i="2"/>
  <c r="E8" i="8" s="1"/>
  <c r="H62" i="2"/>
  <c r="F7" i="8" s="1"/>
  <c r="G62" i="2"/>
  <c r="E7" i="8" s="1"/>
  <c r="H61" i="2"/>
  <c r="F6" i="8" s="1"/>
  <c r="G61" i="2"/>
  <c r="E6" i="8" s="1"/>
  <c r="H60" i="2"/>
  <c r="F5" i="8" s="1"/>
  <c r="G60" i="2"/>
  <c r="E5" i="8" s="1"/>
  <c r="H59" i="2"/>
  <c r="F19" i="7" s="1"/>
  <c r="G59" i="2"/>
  <c r="E19" i="7" s="1"/>
  <c r="H58" i="2"/>
  <c r="F18" i="7" s="1"/>
  <c r="G58" i="2"/>
  <c r="E18" i="7" s="1"/>
  <c r="H57" i="2"/>
  <c r="F17" i="7" s="1"/>
  <c r="G57" i="2"/>
  <c r="E17" i="7" s="1"/>
  <c r="H56" i="2"/>
  <c r="F16" i="7" s="1"/>
  <c r="G56" i="2"/>
  <c r="E16" i="7" s="1"/>
  <c r="H55" i="2"/>
  <c r="F15" i="7" s="1"/>
  <c r="G55" i="2"/>
  <c r="E15" i="7" s="1"/>
  <c r="G54" i="2"/>
  <c r="H54" i="2" s="1"/>
  <c r="F14" i="7" s="1"/>
  <c r="H53" i="2"/>
  <c r="F13" i="7" s="1"/>
  <c r="G53" i="2"/>
  <c r="E13" i="7" s="1"/>
  <c r="H52" i="2"/>
  <c r="F12" i="7" s="1"/>
  <c r="G52" i="2"/>
  <c r="E12" i="7" s="1"/>
  <c r="H51" i="2"/>
  <c r="F11" i="7" s="1"/>
  <c r="G51" i="2"/>
  <c r="E11" i="7" s="1"/>
  <c r="H50" i="2"/>
  <c r="F10" i="7" s="1"/>
  <c r="G50" i="2"/>
  <c r="E10" i="7" s="1"/>
  <c r="H49" i="2"/>
  <c r="F9" i="7" s="1"/>
  <c r="G49" i="2"/>
  <c r="E9" i="7" s="1"/>
  <c r="H48" i="2"/>
  <c r="F8" i="7" s="1"/>
  <c r="G48" i="2"/>
  <c r="E8" i="7" s="1"/>
  <c r="H47" i="2"/>
  <c r="F7" i="7" s="1"/>
  <c r="G47" i="2"/>
  <c r="E7" i="7" s="1"/>
  <c r="H46" i="2"/>
  <c r="F6" i="7" s="1"/>
  <c r="G46" i="2"/>
  <c r="E6" i="7" s="1"/>
  <c r="H44" i="2"/>
  <c r="F19" i="6" s="1"/>
  <c r="G44" i="2"/>
  <c r="E19" i="6" s="1"/>
  <c r="H43" i="2"/>
  <c r="F18" i="6" s="1"/>
  <c r="G43" i="2"/>
  <c r="E18" i="6" s="1"/>
  <c r="H42" i="2"/>
  <c r="F17" i="6" s="1"/>
  <c r="G42" i="2"/>
  <c r="E17" i="6" s="1"/>
  <c r="H41" i="2"/>
  <c r="F16" i="6" s="1"/>
  <c r="G41" i="2"/>
  <c r="E16" i="6" s="1"/>
  <c r="H40" i="2"/>
  <c r="F15" i="6" s="1"/>
  <c r="G40" i="2"/>
  <c r="E15" i="6" s="1"/>
  <c r="H39" i="2"/>
  <c r="F14" i="6" s="1"/>
  <c r="G39" i="2"/>
  <c r="E14" i="6" s="1"/>
  <c r="H38" i="2"/>
  <c r="F13" i="6" s="1"/>
  <c r="G38" i="2"/>
  <c r="E13" i="6" s="1"/>
  <c r="H37" i="2"/>
  <c r="F12" i="6" s="1"/>
  <c r="G37" i="2"/>
  <c r="E12" i="6" s="1"/>
  <c r="H36" i="2"/>
  <c r="F11" i="6" s="1"/>
  <c r="G36" i="2"/>
  <c r="E11" i="6" s="1"/>
  <c r="H35" i="2"/>
  <c r="G35" i="2"/>
  <c r="E10" i="6" s="1"/>
  <c r="H34" i="2"/>
  <c r="F9" i="6" s="1"/>
  <c r="G34" i="2"/>
  <c r="E9" i="6" s="1"/>
  <c r="H33" i="2"/>
  <c r="F8" i="6" s="1"/>
  <c r="G33" i="2"/>
  <c r="E8" i="6" s="1"/>
  <c r="H32" i="2"/>
  <c r="F7" i="6" s="1"/>
  <c r="G32" i="2"/>
  <c r="E7" i="6" s="1"/>
  <c r="H31" i="2"/>
  <c r="F6" i="6" s="1"/>
  <c r="G31" i="2"/>
  <c r="E6" i="6" s="1"/>
  <c r="H30" i="2"/>
  <c r="F5" i="6" s="1"/>
  <c r="G30" i="2"/>
  <c r="E5" i="6" s="1"/>
  <c r="H29" i="2"/>
  <c r="F19" i="5" s="1"/>
  <c r="G29" i="2"/>
  <c r="E19" i="5" s="1"/>
  <c r="H28" i="2"/>
  <c r="F18" i="5" s="1"/>
  <c r="G28" i="2"/>
  <c r="E18" i="5" s="1"/>
  <c r="H27" i="2"/>
  <c r="F17" i="5" s="1"/>
  <c r="G27" i="2"/>
  <c r="E17" i="5" s="1"/>
  <c r="H26" i="2"/>
  <c r="F16" i="5" s="1"/>
  <c r="G26" i="2"/>
  <c r="E16" i="5" s="1"/>
  <c r="H25" i="2"/>
  <c r="F15" i="5" s="1"/>
  <c r="G25" i="2"/>
  <c r="E15" i="5" s="1"/>
  <c r="H24" i="2"/>
  <c r="F14" i="5" s="1"/>
  <c r="G24" i="2"/>
  <c r="E14" i="5" s="1"/>
  <c r="H23" i="2"/>
  <c r="F13" i="5" s="1"/>
  <c r="G23" i="2"/>
  <c r="E13" i="5" s="1"/>
  <c r="H22" i="2"/>
  <c r="F12" i="5" s="1"/>
  <c r="G22" i="2"/>
  <c r="E12" i="5" s="1"/>
  <c r="H21" i="2"/>
  <c r="F11" i="5" s="1"/>
  <c r="G21" i="2"/>
  <c r="E11" i="5" s="1"/>
  <c r="H20" i="2"/>
  <c r="F10" i="5" s="1"/>
  <c r="G20" i="2"/>
  <c r="E10" i="5" s="1"/>
  <c r="H19" i="2"/>
  <c r="F9" i="5" s="1"/>
  <c r="G19" i="2"/>
  <c r="E9" i="5" s="1"/>
  <c r="H18" i="2"/>
  <c r="F8" i="5" s="1"/>
  <c r="G18" i="2"/>
  <c r="E8" i="5" s="1"/>
  <c r="H17" i="2"/>
  <c r="F7" i="5" s="1"/>
  <c r="G17" i="2"/>
  <c r="E7" i="5" s="1"/>
  <c r="H16" i="2"/>
  <c r="F6" i="5" s="1"/>
  <c r="G16" i="2"/>
  <c r="E6" i="5" s="1"/>
  <c r="G15" i="2"/>
  <c r="H15" i="2" s="1"/>
  <c r="E5" i="5" l="1"/>
  <c r="C20" i="6"/>
  <c r="C20" i="12"/>
  <c r="C20" i="10"/>
  <c r="C20" i="5"/>
  <c r="P7" i="4" s="1"/>
  <c r="F8" i="4" s="1"/>
  <c r="E14" i="7"/>
  <c r="C20" i="9"/>
  <c r="C20" i="11"/>
  <c r="C20" i="8"/>
  <c r="E17" i="9"/>
  <c r="H135" i="2"/>
  <c r="C20" i="7"/>
  <c r="F5" i="5"/>
  <c r="F20" i="5" s="1"/>
  <c r="F20" i="7"/>
  <c r="F20" i="8"/>
  <c r="F20" i="9"/>
  <c r="F20" i="6"/>
  <c r="F20" i="12"/>
  <c r="F20" i="11"/>
  <c r="F20" i="10"/>
  <c r="F7" i="4" l="1"/>
  <c r="F6" i="4"/>
  <c r="F5" i="4" l="1"/>
  <c r="F20" i="4" s="1"/>
  <c r="D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color rgb="FF000000"/>
            <rFont val="Times New Roman"/>
            <charset val="204"/>
          </rPr>
          <t>入力は黄色いセルのみ行ってください。他のセル・他のシートは自動計算されるため編集不要です。</t>
        </r>
      </text>
    </comment>
    <comment ref="C5" authorId="0" shapeId="0" xr:uid="{00000000-0006-0000-0100-000002000000}">
      <text>
        <r>
          <rPr>
            <sz val="10"/>
            <color rgb="FF000000"/>
            <rFont val="Times New Roman"/>
            <charset val="204"/>
          </rPr>
          <t>表紙シートの宛先欄に自動反映されます。</t>
        </r>
      </text>
    </comment>
    <comment ref="C6" authorId="0" shapeId="0" xr:uid="{00000000-0006-0000-0100-000003000000}">
      <text>
        <r>
          <rPr>
            <sz val="10"/>
            <color rgb="FF000000"/>
            <rFont val="Times New Roman"/>
            <charset val="204"/>
          </rPr>
          <t>表紙シートの案件名欄に自動反映されます。</t>
        </r>
      </text>
    </comment>
    <comment ref="C9" authorId="0" shapeId="0" xr:uid="{00000000-0006-0000-0100-000004000000}">
      <text>
        <r>
          <rPr>
            <sz val="10"/>
            <color rgb="FF000000"/>
            <rFont val="Times New Roman"/>
            <charset val="204"/>
          </rPr>
          <t>内訳明細書シートの②労務費＝器具台数×この単価で自動計算されます。</t>
        </r>
      </text>
    </comment>
    <comment ref="C10" authorId="0" shapeId="0" xr:uid="{00000000-0006-0000-0100-000005000000}">
      <text>
        <r>
          <rPr>
            <sz val="10"/>
            <color rgb="FF000000"/>
            <rFont val="Times New Roman"/>
            <charset val="204"/>
          </rPr>
          <t>内訳明細書シートの③産業廃棄物運搬・処分費＝器具台数×この単価で自動計算されます。</t>
        </r>
      </text>
    </comment>
    <comment ref="C11" authorId="0" shapeId="0" xr:uid="{00000000-0006-0000-0100-000006000000}">
      <text>
        <r>
          <rPr>
            <sz val="10"/>
            <color rgb="FF000000"/>
            <rFont val="Times New Roman"/>
            <charset val="204"/>
          </rPr>
          <t>下表の仕入単価に、この倍率を掛けた金額が単価として計算されます。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300-000001000000}">
      <text>
        <r>
          <rPr>
            <sz val="10"/>
            <color rgb="FF000000"/>
            <rFont val="Times New Roman"/>
            <charset val="204"/>
          </rPr>
          <t>この見積書は「入力シート（LED工事用）」の入力内容がすべて自動反映されます。このシートは編集不要です。</t>
        </r>
      </text>
    </comment>
    <comment ref="N7" authorId="0" shapeId="0" xr:uid="{00000000-0006-0000-0300-000002000000}">
      <text>
        <r>
          <rPr>
            <sz val="10"/>
            <color rgb="FF000000"/>
            <rFont val="Times New Roman"/>
            <charset val="204"/>
          </rPr>
          <t>この右側の表(N〜P列)は社内の計算根拠メモです。印刷範囲外のため見積書には印字されません。</t>
        </r>
      </text>
    </comment>
    <comment ref="P8" authorId="0" shapeId="0" xr:uid="{00000000-0006-0000-0300-000003000000}">
      <text>
        <r>
          <rPr>
            <sz val="10"/>
            <color rgb="FF000000"/>
            <rFont val="Times New Roman"/>
            <charset val="204"/>
          </rPr>
          <t>入力シート（LED工事用）のC9（労務費単価）を自動参照しています。</t>
        </r>
      </text>
    </comment>
    <comment ref="P9" authorId="0" shapeId="0" xr:uid="{00000000-0006-0000-0300-000004000000}">
      <text>
        <r>
          <rPr>
            <sz val="10"/>
            <color rgb="FF000000"/>
            <rFont val="Times New Roman"/>
            <charset val="204"/>
          </rPr>
          <t>入力シート（LED工事用）のC10（産廃単価）を自動参照しています。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400-000001000000}">
      <text>
        <r>
          <rPr>
            <sz val="10"/>
            <color rgb="FF000000"/>
            <rFont val="Times New Roman"/>
            <charset val="204"/>
          </rPr>
          <t>材料費明細 1/8ページ目。「入力シート（LED工事用）」の器具一覧のうち、1〜15行目を自動反映します。編集不要。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500-000001000000}">
      <text>
        <r>
          <rPr>
            <sz val="10"/>
            <color rgb="FF000000"/>
            <rFont val="Times New Roman"/>
            <charset val="204"/>
          </rPr>
          <t>材料費明細 2/8ページ目。「入力シート（LED工事用）」の器具一覧のうち、16〜30行目を自動反映します。編集不要。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600-000001000000}">
      <text>
        <r>
          <rPr>
            <sz val="10"/>
            <color rgb="FF000000"/>
            <rFont val="Times New Roman"/>
            <charset val="204"/>
          </rPr>
          <t>材料費明細 3/8ページ目。「入力シート（LED工事用）」の器具一覧のうち、31〜45行目を自動反映します。編集不要。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700-000001000000}">
      <text>
        <r>
          <rPr>
            <sz val="10"/>
            <color rgb="FF000000"/>
            <rFont val="Times New Roman"/>
            <charset val="204"/>
          </rPr>
          <t>材料費明細 4/8ページ目。「入力シート（LED工事用）」の器具一覧のうち、46〜60行目を自動反映します。編集不要。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800-000001000000}">
      <text>
        <r>
          <rPr>
            <sz val="10"/>
            <color rgb="FF000000"/>
            <rFont val="Times New Roman"/>
            <charset val="204"/>
          </rPr>
          <t>材料費明細 5/8ページ目。「入力シート（LED工事用）」の器具一覧のうち、61〜75行目を自動反映します。編集不要。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900-000001000000}">
      <text>
        <r>
          <rPr>
            <sz val="10"/>
            <color rgb="FF000000"/>
            <rFont val="Times New Roman"/>
            <charset val="204"/>
          </rPr>
          <t>材料費明細 6/8ページ目。「入力シート（LED工事用）」の器具一覧のうち、76〜90行目を自動反映します。編集不要。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A00-000001000000}">
      <text>
        <r>
          <rPr>
            <sz val="10"/>
            <color rgb="FF000000"/>
            <rFont val="Times New Roman"/>
            <charset val="204"/>
          </rPr>
          <t>材料費明細 7/8ページ目。「入力シート（LED工事用）」の器具一覧のうち、91〜105行目を自動反映します。編集不要。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B00-000001000000}">
      <text>
        <r>
          <rPr>
            <sz val="10"/>
            <color rgb="FF000000"/>
            <rFont val="Times New Roman"/>
            <charset val="204"/>
          </rPr>
          <t>材料費明細 8/8ページ目。「入力シート（LED工事用）」の器具一覧のうち、106〜120行目を自動反映します。編集不要。</t>
        </r>
      </text>
    </comment>
  </commentList>
</comments>
</file>

<file path=xl/sharedStrings.xml><?xml version="1.0" encoding="utf-8"?>
<sst xmlns="http://schemas.openxmlformats.org/spreadsheetml/2006/main" count="303" uniqueCount="108">
  <si>
    <t>【入力シート（LED工事用）】この案件の情報と使用する器具を入力してください</t>
  </si>
  <si>
    <t>① 案件情報</t>
  </si>
  <si>
    <t>宛先（発注者名・担当官名等）</t>
  </si>
  <si>
    <t>支出負担行為担当官 
大阪法務局長 中尾　彰</t>
  </si>
  <si>
    <t>案件名</t>
  </si>
  <si>
    <t>大阪法務局北大阪支局及び枚方出張所事務室等
照明器具ＬＥＤ改修工事</t>
  </si>
  <si>
    <t>② 単価設定（器具1台あたり）</t>
  </si>
  <si>
    <t>労務費単価／台</t>
  </si>
  <si>
    <t>産業廃棄物運搬・処分費単価／台</t>
  </si>
  <si>
    <t>材料費係数（仕入単価に掛ける倍率）</t>
  </si>
  <si>
    <t>③ 使用器具一覧（品番・数量・仕入単価を入力）</t>
  </si>
  <si>
    <t>No.</t>
  </si>
  <si>
    <t>品番</t>
  </si>
  <si>
    <t>規格・仕様</t>
  </si>
  <si>
    <t>数量</t>
  </si>
  <si>
    <t>単位</t>
  </si>
  <si>
    <t>仕入単価</t>
  </si>
  <si>
    <t>単価（係数後）</t>
  </si>
  <si>
    <t>金額</t>
  </si>
  <si>
    <t>備考</t>
  </si>
  <si>
    <t>台</t>
  </si>
  <si>
    <t>小計</t>
  </si>
  <si>
    <t>内訳書 雛形　－　使い方ガイド</t>
  </si>
  <si>
    <t>■ この雛形について</t>
  </si>
  <si>
    <t>この雛形は「LED工事用」として作成しています。他の工事案件で使う場合は、このファイルをコピーし、</t>
  </si>
  <si>
    <t>シート構成を参考にしながら「入力シート（○○工事用）」を新規作成してご利用ください。</t>
  </si>
  <si>
    <t>■ 入力の流れ（LED工事用）</t>
  </si>
  <si>
    <t>①</t>
  </si>
  <si>
    <t>「入力シート（LED工事用）」タブを開く</t>
  </si>
  <si>
    <t>②</t>
  </si>
  <si>
    <t>案件情報（宛先・案件名）を入力する → 表紙シートに自動反映されます</t>
  </si>
  <si>
    <t>③</t>
  </si>
  <si>
    <t>単価設定（労務費単価・産廃費単価・材料費係数）を入力する</t>
  </si>
  <si>
    <t>④</t>
  </si>
  <si>
    <t>使用器具一覧（最大120行）に品番・規格・数量・仕入単価を入力する → 金額が自動計算されます（①材料費内訳(1)〜(8)の8ページに15行ずつ反映）</t>
  </si>
  <si>
    <t>⑤</t>
  </si>
  <si>
    <t>「内訳明細書」「表紙」シートで最終確認する（このシートは自動計算のみ、編集不要）</t>
  </si>
  <si>
    <t>■ シート構成</t>
  </si>
  <si>
    <t>シート名</t>
  </si>
  <si>
    <t>役割</t>
  </si>
  <si>
    <t>使い方</t>
  </si>
  <si>
    <t>このシート（説明用）</t>
  </si>
  <si>
    <t>入力シート（LED工事用）</t>
  </si>
  <si>
    <t>★ここに入力します（案件情報・単価・器具一覧）※印刷不要ページ</t>
  </si>
  <si>
    <t>表紙</t>
  </si>
  <si>
    <t>見積書の表紙（自動計算・編集不要）</t>
  </si>
  <si>
    <t>内訳明細書</t>
  </si>
  <si>
    <t>工事費の内訳合計（自動計算・編集不要）</t>
  </si>
  <si>
    <t>①材料費　内訳(1)〜(8)</t>
  </si>
  <si>
    <t>材料費の内訳（A4横1ページ15行×8ページ分。入力シートを自動反映・編集不要）</t>
  </si>
  <si>
    <t>■ 他の工事（LED以外）で使う場合</t>
  </si>
  <si>
    <t>「入力シート（LED工事用）」タブをコピーし、タブ名を「入力シート（○○工事用）」に変更してご利用ください。</t>
  </si>
  <si>
    <t>①材料費内訳・内訳明細書シートの参照先（数式）を、コピーした新しいシート名に合わせて変更する必要があります。</t>
  </si>
  <si>
    <t>（変更方法が分からない場合はお声かけください）</t>
  </si>
  <si>
    <t>見積No.</t>
  </si>
  <si>
    <t>殿</t>
  </si>
  <si>
    <t>〒581-0039</t>
  </si>
  <si>
    <t>下記のとおりお見積申し上げます。</t>
  </si>
  <si>
    <t>大阪府八尾市太田新町8-29</t>
  </si>
  <si>
    <t>工事価格</t>
  </si>
  <si>
    <t>川野電気株式会社</t>
  </si>
  <si>
    <t>代表取締役　川野　善輝</t>
  </si>
  <si>
    <t xml:space="preserve">TEL </t>
  </si>
  <si>
    <t>072-974-7021</t>
  </si>
  <si>
    <t xml:space="preserve">FAX </t>
  </si>
  <si>
    <t>072-951-8643</t>
  </si>
  <si>
    <t>見積有効期限</t>
  </si>
  <si>
    <t>納入期日</t>
  </si>
  <si>
    <t>納入場所</t>
  </si>
  <si>
    <t>お支払条件</t>
  </si>
  <si>
    <t>摘要</t>
  </si>
  <si>
    <t>名                                               称</t>
  </si>
  <si>
    <t>摘                      要</t>
  </si>
  <si>
    <t>数       量</t>
  </si>
  <si>
    <t>単       位</t>
  </si>
  <si>
    <t>金                      額</t>
  </si>
  <si>
    <t>備                      考</t>
  </si>
  <si>
    <t>1　直接工事費</t>
  </si>
  <si>
    <t>式</t>
  </si>
  <si>
    <t>A(①+②+③)</t>
  </si>
  <si>
    <t>　①材料費</t>
  </si>
  <si>
    <t>別紙明細参照(8枚)</t>
  </si>
  <si>
    <t>　②労務費</t>
  </si>
  <si>
    <t>器具台数</t>
  </si>
  <si>
    <t>　③産業廃棄物運搬・処分費</t>
  </si>
  <si>
    <t>労務費単価/台</t>
  </si>
  <si>
    <t>産廃費単価/台</t>
  </si>
  <si>
    <t>2　共通費</t>
  </si>
  <si>
    <t>B(④+⑤+⑥)</t>
  </si>
  <si>
    <t>　④共通仮設費</t>
  </si>
  <si>
    <t>　⑤現場管理費</t>
  </si>
  <si>
    <t>　a.建退共制度の掛金</t>
  </si>
  <si>
    <t>　b.法定福利費の事業主負担額</t>
  </si>
  <si>
    <t>　c.安全衛生経費</t>
  </si>
  <si>
    <t>⑥一般管理費等</t>
  </si>
  <si>
    <t>A+B</t>
  </si>
  <si>
    <t>材料費明細（1/8）</t>
  </si>
  <si>
    <t>規                      格</t>
  </si>
  <si>
    <t>単       価</t>
  </si>
  <si>
    <t>1　材料費</t>
  </si>
  <si>
    <t>小　　　　　　　計</t>
  </si>
  <si>
    <t>材料費明細（2/8）</t>
  </si>
  <si>
    <t>材料費明細（3/8）</t>
  </si>
  <si>
    <t>材料費明細（4/8）</t>
  </si>
  <si>
    <t>材料費明細（5/8）</t>
  </si>
  <si>
    <t>材料費明細（6/8）</t>
  </si>
  <si>
    <t>材料費明細（7/8）</t>
  </si>
  <si>
    <t>材料費明細（8/8）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</si>
</sst>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/yyyy"/>
    <numFmt numFmtId="177" formatCode="_ \¥* #,##0_ ;_ \¥* \-#,##0_ ;_ \¥* \-_ ;_ @_ "/>
    <numFmt numFmtId="178" formatCode="_ * #,##0_ ;_ * \-#,##0_ ;_ * \-_ ;_ @_ "/>
    <numFmt numFmtId="179" formatCode="#,##0_);[Red]\(#,##0\)"/>
  </numFmts>
  <fonts count="39">
    <font>
      <sz val="10"/>
      <color rgb="FF000000"/>
      <name val="Times New Roman"/>
      <charset val="204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i/>
      <sz val="9"/>
      <color rgb="FFFF0000"/>
      <name val="Noto Sans CJK SC"/>
      <family val="2"/>
      <charset val="1"/>
    </font>
    <font>
      <sz val="11"/>
      <name val="Cambria"/>
      <family val="1"/>
    </font>
    <font>
      <sz val="11"/>
      <color rgb="FF0000FF"/>
      <name val="Cambria"/>
      <family val="1"/>
    </font>
    <font>
      <sz val="10"/>
      <color rgb="FF000000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28"/>
      <name val="ＭＳ 明朝"/>
      <family val="1"/>
      <charset val="128"/>
    </font>
    <font>
      <sz val="24"/>
      <name val="ＭＳ 明朝"/>
      <family val="1"/>
      <charset val="128"/>
    </font>
    <font>
      <sz val="20"/>
      <name val="ＭＳ 明朝"/>
      <family val="1"/>
      <charset val="128"/>
    </font>
    <font>
      <sz val="28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28"/>
    </font>
    <font>
      <sz val="11"/>
      <name val="ＭＳ Ｐゴシック"/>
      <family val="3"/>
      <charset val="128"/>
    </font>
    <font>
      <sz val="11"/>
      <name val="Noto Sans CJK SC"/>
      <family val="2"/>
      <charset val="1"/>
    </font>
    <font>
      <b/>
      <sz val="11"/>
      <name val="Noto Sans CJK SC"/>
      <family val="2"/>
      <charset val="1"/>
    </font>
    <font>
      <sz val="12"/>
      <name val="ＭＳ 明朝"/>
      <family val="1"/>
      <charset val="128"/>
    </font>
    <font>
      <b/>
      <u/>
      <sz val="28"/>
      <name val="ＭＳ 明朝"/>
      <family val="1"/>
      <charset val="128"/>
    </font>
    <font>
      <sz val="18"/>
      <name val="ＭＳ 明朝"/>
      <family val="1"/>
      <charset val="128"/>
    </font>
    <font>
      <sz val="20"/>
      <name val="ＭＳ 明朝"/>
      <family val="1"/>
      <charset val="128"/>
    </font>
    <font>
      <sz val="14"/>
      <name val="ＭＳ 明朝"/>
      <family val="1"/>
      <charset val="128"/>
    </font>
    <font>
      <sz val="28"/>
      <name val="ＭＳ 明朝"/>
      <family val="1"/>
      <charset val="128"/>
    </font>
    <font>
      <sz val="16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rgb="FF000000"/>
      <name val="ＭＳ Ｐ明朝"/>
      <family val="1"/>
      <charset val="128"/>
    </font>
    <font>
      <b/>
      <sz val="11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4"/>
      <color rgb="FFFFFFFF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4" borderId="1" xfId="0" applyFont="1" applyFill="1" applyBorder="1"/>
    <xf numFmtId="3" fontId="5" fillId="4" borderId="1" xfId="0" applyNumberFormat="1" applyFont="1" applyFill="1" applyBorder="1"/>
    <xf numFmtId="0" fontId="6" fillId="0" borderId="1" xfId="0" applyFont="1" applyBorder="1"/>
    <xf numFmtId="0" fontId="6" fillId="0" borderId="0" xfId="0" applyFont="1"/>
    <xf numFmtId="0" fontId="7" fillId="4" borderId="1" xfId="0" applyFont="1" applyFill="1" applyBorder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/>
    </xf>
    <xf numFmtId="0" fontId="8" fillId="0" borderId="3" xfId="0" applyFont="1" applyBorder="1" applyAlignment="1">
      <alignment vertical="center"/>
    </xf>
    <xf numFmtId="176" fontId="9" fillId="0" borderId="0" xfId="0" applyNumberFormat="1" applyFont="1" applyAlignment="1" applyProtection="1">
      <alignment vertical="center"/>
      <protection locked="0"/>
    </xf>
    <xf numFmtId="176" fontId="0" fillId="0" borderId="0" xfId="0" applyNumberFormat="1" applyAlignment="1">
      <alignment horizontal="left" vertical="top"/>
    </xf>
    <xf numFmtId="0" fontId="9" fillId="0" borderId="2" xfId="0" applyFont="1" applyBorder="1" applyAlignment="1" applyProtection="1">
      <alignment horizontal="right" vertical="center"/>
      <protection locked="0"/>
    </xf>
    <xf numFmtId="1" fontId="14" fillId="0" borderId="4" xfId="0" applyNumberFormat="1" applyFont="1" applyBorder="1" applyAlignment="1">
      <alignment horizontal="left" vertical="center" shrinkToFit="1"/>
    </xf>
    <xf numFmtId="0" fontId="14" fillId="0" borderId="4" xfId="0" applyFont="1" applyBorder="1" applyAlignment="1">
      <alignment horizontal="center" vertical="center" wrapText="1"/>
    </xf>
    <xf numFmtId="178" fontId="14" fillId="0" borderId="4" xfId="0" applyNumberFormat="1" applyFont="1" applyBorder="1" applyAlignment="1">
      <alignment horizontal="right" vertical="center" wrapText="1"/>
    </xf>
    <xf numFmtId="0" fontId="15" fillId="0" borderId="4" xfId="0" applyFont="1" applyBorder="1" applyAlignment="1">
      <alignment horizontal="center" vertical="center" wrapText="1"/>
    </xf>
    <xf numFmtId="178" fontId="14" fillId="0" borderId="4" xfId="0" applyNumberFormat="1" applyFont="1" applyBorder="1" applyAlignment="1" applyProtection="1">
      <alignment horizontal="right" vertical="center" wrapText="1"/>
      <protection locked="0"/>
    </xf>
    <xf numFmtId="3" fontId="5" fillId="0" borderId="0" xfId="0" applyNumberFormat="1" applyFont="1"/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179" fontId="14" fillId="0" borderId="4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top" wrapText="1"/>
    </xf>
    <xf numFmtId="176" fontId="9" fillId="0" borderId="0" xfId="0" applyNumberFormat="1" applyFont="1" applyAlignment="1">
      <alignment vertical="center"/>
    </xf>
    <xf numFmtId="0" fontId="19" fillId="0" borderId="0" xfId="0" applyFont="1"/>
    <xf numFmtId="0" fontId="14" fillId="0" borderId="7" xfId="0" applyFont="1" applyBorder="1" applyAlignment="1">
      <alignment horizontal="center" vertical="center" wrapText="1"/>
    </xf>
    <xf numFmtId="0" fontId="17" fillId="0" borderId="4" xfId="0" applyFont="1" applyBorder="1"/>
    <xf numFmtId="3" fontId="17" fillId="0" borderId="4" xfId="0" applyNumberFormat="1" applyFont="1" applyBorder="1"/>
    <xf numFmtId="0" fontId="0" fillId="0" borderId="8" xfId="0" applyBorder="1"/>
    <xf numFmtId="3" fontId="2" fillId="0" borderId="8" xfId="0" applyNumberFormat="1" applyFont="1" applyBorder="1"/>
    <xf numFmtId="0" fontId="33" fillId="0" borderId="0" xfId="0" applyFont="1"/>
    <xf numFmtId="0" fontId="28" fillId="0" borderId="0" xfId="0" applyFont="1"/>
    <xf numFmtId="0" fontId="32" fillId="0" borderId="0" xfId="0" applyFont="1"/>
    <xf numFmtId="0" fontId="32" fillId="3" borderId="1" xfId="0" applyFont="1" applyFill="1" applyBorder="1"/>
    <xf numFmtId="0" fontId="28" fillId="0" borderId="1" xfId="0" applyFont="1" applyBorder="1"/>
    <xf numFmtId="0" fontId="36" fillId="0" borderId="0" xfId="0" applyFont="1"/>
    <xf numFmtId="0" fontId="33" fillId="3" borderId="0" xfId="0" applyFont="1" applyFill="1"/>
    <xf numFmtId="3" fontId="34" fillId="4" borderId="0" xfId="0" applyNumberFormat="1" applyFont="1" applyFill="1"/>
    <xf numFmtId="2" fontId="34" fillId="4" borderId="0" xfId="0" applyNumberFormat="1" applyFont="1" applyFill="1"/>
    <xf numFmtId="0" fontId="32" fillId="3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3" fontId="28" fillId="0" borderId="1" xfId="0" applyNumberFormat="1" applyFont="1" applyBorder="1"/>
    <xf numFmtId="0" fontId="28" fillId="0" borderId="0" xfId="0" applyFont="1" applyAlignment="1">
      <alignment horizontal="center"/>
    </xf>
    <xf numFmtId="0" fontId="32" fillId="0" borderId="1" xfId="0" applyFont="1" applyBorder="1"/>
    <xf numFmtId="3" fontId="32" fillId="0" borderId="1" xfId="0" applyNumberFormat="1" applyFont="1" applyBorder="1"/>
    <xf numFmtId="0" fontId="20" fillId="0" borderId="2" xfId="0" applyFont="1" applyBorder="1" applyAlignment="1">
      <alignment horizontal="right" vertical="center"/>
    </xf>
    <xf numFmtId="0" fontId="23" fillId="0" borderId="2" xfId="0" applyFont="1" applyBorder="1" applyAlignment="1" applyProtection="1">
      <alignment horizontal="right" vertical="center"/>
      <protection locked="0"/>
    </xf>
    <xf numFmtId="0" fontId="24" fillId="0" borderId="0" xfId="0" applyFont="1" applyAlignment="1">
      <alignment vertical="center"/>
    </xf>
    <xf numFmtId="0" fontId="24" fillId="0" borderId="0" xfId="0" applyFont="1"/>
    <xf numFmtId="0" fontId="27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left" vertical="center" shrinkToFit="1"/>
    </xf>
    <xf numFmtId="0" fontId="30" fillId="0" borderId="4" xfId="0" applyFont="1" applyBorder="1" applyAlignment="1">
      <alignment horizontal="center" vertical="center" wrapText="1"/>
    </xf>
    <xf numFmtId="3" fontId="37" fillId="5" borderId="0" xfId="0" applyNumberFormat="1" applyFont="1" applyFill="1"/>
    <xf numFmtId="0" fontId="27" fillId="0" borderId="4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32" fillId="0" borderId="8" xfId="0" applyFont="1" applyBorder="1"/>
    <xf numFmtId="176" fontId="20" fillId="0" borderId="0" xfId="0" applyNumberFormat="1" applyFont="1" applyAlignment="1">
      <alignment vertical="center"/>
    </xf>
    <xf numFmtId="0" fontId="27" fillId="0" borderId="4" xfId="0" applyFont="1" applyBorder="1"/>
    <xf numFmtId="3" fontId="27" fillId="0" borderId="4" xfId="0" applyNumberFormat="1" applyFont="1" applyBorder="1"/>
    <xf numFmtId="3" fontId="32" fillId="0" borderId="8" xfId="0" applyNumberFormat="1" applyFont="1" applyBorder="1"/>
    <xf numFmtId="0" fontId="28" fillId="4" borderId="0" xfId="0" applyFont="1" applyFill="1" applyAlignment="1">
      <alignment vertical="top" wrapText="1"/>
    </xf>
    <xf numFmtId="0" fontId="0" fillId="0" borderId="0" xfId="0"/>
    <xf numFmtId="0" fontId="32" fillId="0" borderId="0" xfId="0" applyFont="1"/>
    <xf numFmtId="0" fontId="3" fillId="0" borderId="0" xfId="0" applyFont="1"/>
    <xf numFmtId="0" fontId="33" fillId="0" borderId="0" xfId="0" applyFont="1"/>
    <xf numFmtId="0" fontId="35" fillId="2" borderId="0" xfId="0" applyFont="1" applyFill="1"/>
    <xf numFmtId="0" fontId="2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distributed" vertical="center"/>
    </xf>
    <xf numFmtId="0" fontId="24" fillId="0" borderId="0" xfId="0" applyFont="1" applyAlignment="1">
      <alignment horizontal="center" vertical="center" shrinkToFit="1"/>
    </xf>
    <xf numFmtId="0" fontId="8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176" fontId="9" fillId="0" borderId="0" xfId="0" applyNumberFormat="1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177" fontId="12" fillId="0" borderId="0" xfId="0" applyNumberFormat="1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right" vertical="center"/>
      <protection locked="0"/>
    </xf>
    <xf numFmtId="0" fontId="22" fillId="0" borderId="2" xfId="0" applyFont="1" applyBorder="1" applyAlignment="1" applyProtection="1">
      <alignment horizontal="left" vertical="center" wrapText="1"/>
      <protection locked="0"/>
    </xf>
    <xf numFmtId="0" fontId="24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5" xfId="0" applyFont="1" applyBorder="1" applyAlignment="1">
      <alignment horizontal="center" vertical="center"/>
    </xf>
    <xf numFmtId="0" fontId="0" fillId="0" borderId="10" xfId="0" applyBorder="1"/>
    <xf numFmtId="0" fontId="15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0" fillId="0" borderId="9" xfId="0" applyBorder="1"/>
    <xf numFmtId="0" fontId="27" fillId="0" borderId="7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view="pageBreakPreview" zoomScaleNormal="100" workbookViewId="0"/>
  </sheetViews>
  <sheetFormatPr defaultColWidth="8.83203125" defaultRowHeight="12.75"/>
  <cols>
    <col min="1" max="1" width="24" customWidth="1"/>
    <col min="2" max="2" width="55" customWidth="1"/>
    <col min="3" max="3" width="20" customWidth="1"/>
  </cols>
  <sheetData>
    <row r="1" spans="1:6" ht="30" customHeight="1">
      <c r="A1" s="80" t="s">
        <v>22</v>
      </c>
      <c r="B1" s="76"/>
      <c r="C1" s="76"/>
      <c r="D1" s="76"/>
      <c r="E1" s="76"/>
      <c r="F1" s="76"/>
    </row>
    <row r="3" spans="1:6" ht="15" customHeight="1">
      <c r="A3" s="43" t="s">
        <v>23</v>
      </c>
    </row>
    <row r="4" spans="1:6" ht="15" customHeight="1">
      <c r="A4" s="44" t="s">
        <v>24</v>
      </c>
    </row>
    <row r="5" spans="1:6" ht="15" customHeight="1">
      <c r="A5" s="44" t="s">
        <v>25</v>
      </c>
    </row>
    <row r="7" spans="1:6" ht="18.75" customHeight="1">
      <c r="A7" s="43" t="s">
        <v>26</v>
      </c>
    </row>
    <row r="8" spans="1:6" ht="15" customHeight="1">
      <c r="A8" s="45" t="s">
        <v>27</v>
      </c>
      <c r="B8" s="44" t="s">
        <v>28</v>
      </c>
    </row>
    <row r="9" spans="1:6" ht="15" customHeight="1">
      <c r="A9" s="45" t="s">
        <v>29</v>
      </c>
      <c r="B9" s="44" t="s">
        <v>30</v>
      </c>
    </row>
    <row r="10" spans="1:6" ht="15" customHeight="1">
      <c r="A10" s="45" t="s">
        <v>31</v>
      </c>
      <c r="B10" s="44" t="s">
        <v>32</v>
      </c>
    </row>
    <row r="11" spans="1:6" ht="15" customHeight="1">
      <c r="A11" s="45" t="s">
        <v>33</v>
      </c>
      <c r="B11" s="44" t="s">
        <v>34</v>
      </c>
    </row>
    <row r="12" spans="1:6" ht="15" customHeight="1">
      <c r="A12" s="45" t="s">
        <v>35</v>
      </c>
      <c r="B12" s="44" t="s">
        <v>36</v>
      </c>
    </row>
    <row r="15" spans="1:6" ht="15" customHeight="1">
      <c r="A15" s="43" t="s">
        <v>37</v>
      </c>
    </row>
    <row r="16" spans="1:6" ht="15" customHeight="1">
      <c r="A16" s="46" t="s">
        <v>38</v>
      </c>
      <c r="B16" s="46" t="s">
        <v>39</v>
      </c>
    </row>
    <row r="17" spans="1:2" ht="15" customHeight="1">
      <c r="A17" s="47" t="s">
        <v>40</v>
      </c>
      <c r="B17" s="47" t="s">
        <v>41</v>
      </c>
    </row>
    <row r="18" spans="1:2" ht="15" customHeight="1">
      <c r="A18" s="47" t="s">
        <v>42</v>
      </c>
      <c r="B18" s="47" t="s">
        <v>43</v>
      </c>
    </row>
    <row r="19" spans="1:2" ht="15" customHeight="1">
      <c r="A19" s="47" t="s">
        <v>44</v>
      </c>
      <c r="B19" s="47" t="s">
        <v>45</v>
      </c>
    </row>
    <row r="20" spans="1:2" ht="15" customHeight="1">
      <c r="A20" s="47" t="s">
        <v>46</v>
      </c>
      <c r="B20" s="47" t="s">
        <v>47</v>
      </c>
    </row>
    <row r="21" spans="1:2" ht="15" customHeight="1">
      <c r="A21" s="47" t="s">
        <v>48</v>
      </c>
      <c r="B21" s="47" t="s">
        <v>49</v>
      </c>
    </row>
    <row r="24" spans="1:2" ht="18.75" customHeight="1">
      <c r="A24" s="43" t="s">
        <v>50</v>
      </c>
    </row>
    <row r="25" spans="1:2" ht="15" customHeight="1">
      <c r="A25" s="44" t="s">
        <v>51</v>
      </c>
    </row>
    <row r="26" spans="1:2" ht="15" customHeight="1">
      <c r="A26" s="44" t="s">
        <v>52</v>
      </c>
    </row>
    <row r="27" spans="1:2" ht="15" customHeight="1">
      <c r="A27" s="48" t="s">
        <v>53</v>
      </c>
    </row>
  </sheetData>
  <mergeCells count="1">
    <mergeCell ref="A1:F1"/>
  </mergeCells>
  <phoneticPr fontId="38"/>
  <pageMargins left="0.75" right="0.75" top="1" bottom="1" header="0.511811023622047" footer="0.511811023622047"/>
  <pageSetup paperSize="9" scale="7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135"/>
  <sheetViews>
    <sheetView tabSelected="1" view="pageBreakPreview" zoomScaleNormal="100" workbookViewId="0">
      <selection activeCell="C12" sqref="C12"/>
    </sheetView>
  </sheetViews>
  <sheetFormatPr defaultColWidth="8.83203125" defaultRowHeight="12.75"/>
  <cols>
    <col min="1" max="1" width="6" customWidth="1"/>
    <col min="2" max="2" width="30" customWidth="1"/>
    <col min="3" max="3" width="22" customWidth="1"/>
    <col min="4" max="4" width="8" customWidth="1"/>
    <col min="5" max="5" width="6" customWidth="1"/>
    <col min="6" max="6" width="12" customWidth="1"/>
    <col min="7" max="8" width="14" customWidth="1"/>
    <col min="9" max="9" width="16" customWidth="1"/>
  </cols>
  <sheetData>
    <row r="1" spans="1:9" ht="15" customHeight="1">
      <c r="A1" s="79" t="s">
        <v>0</v>
      </c>
      <c r="B1" s="76"/>
      <c r="C1" s="76"/>
      <c r="D1" s="76"/>
      <c r="E1" s="76"/>
      <c r="F1" s="76"/>
      <c r="G1" s="76"/>
      <c r="H1" s="76"/>
      <c r="I1" s="76"/>
    </row>
    <row r="2" spans="1:9" ht="15" customHeight="1">
      <c r="A2" s="78"/>
      <c r="B2" s="76"/>
      <c r="C2" s="76"/>
      <c r="D2" s="76"/>
      <c r="E2" s="76"/>
      <c r="F2" s="76"/>
      <c r="G2" s="76"/>
      <c r="H2" s="76"/>
    </row>
    <row r="3" spans="1:9" ht="30" customHeight="1">
      <c r="A3" s="1"/>
      <c r="B3" s="2"/>
    </row>
    <row r="4" spans="1:9" ht="30" customHeight="1">
      <c r="A4" s="49" t="s">
        <v>1</v>
      </c>
      <c r="B4" s="2"/>
    </row>
    <row r="5" spans="1:9" ht="30" customHeight="1">
      <c r="A5" s="77" t="s">
        <v>2</v>
      </c>
      <c r="B5" s="76"/>
      <c r="C5" s="75" t="s">
        <v>3</v>
      </c>
      <c r="D5" s="76"/>
      <c r="E5" s="76"/>
      <c r="F5" s="76"/>
      <c r="G5" s="76"/>
      <c r="H5" s="76"/>
    </row>
    <row r="6" spans="1:9" ht="30" customHeight="1">
      <c r="A6" s="77" t="s">
        <v>4</v>
      </c>
      <c r="B6" s="76"/>
      <c r="C6" s="75" t="s">
        <v>5</v>
      </c>
      <c r="D6" s="76"/>
      <c r="E6" s="76"/>
      <c r="F6" s="76"/>
      <c r="G6" s="76"/>
      <c r="H6" s="76"/>
    </row>
    <row r="8" spans="1:9" ht="18.75" customHeight="1">
      <c r="A8" s="49" t="s">
        <v>6</v>
      </c>
    </row>
    <row r="9" spans="1:9" ht="15" customHeight="1">
      <c r="A9" s="77" t="s">
        <v>7</v>
      </c>
      <c r="B9" s="76"/>
      <c r="C9" s="50">
        <v>800</v>
      </c>
    </row>
    <row r="10" spans="1:9" ht="15" customHeight="1">
      <c r="A10" s="77" t="s">
        <v>8</v>
      </c>
      <c r="B10" s="76"/>
      <c r="C10" s="50">
        <v>700</v>
      </c>
    </row>
    <row r="11" spans="1:9" ht="15" customHeight="1">
      <c r="A11" s="77" t="s">
        <v>9</v>
      </c>
      <c r="B11" s="76"/>
      <c r="C11" s="51">
        <v>1</v>
      </c>
    </row>
    <row r="13" spans="1:9" ht="15" customHeight="1">
      <c r="A13" s="49" t="s">
        <v>10</v>
      </c>
    </row>
    <row r="14" spans="1:9" ht="15" customHeight="1">
      <c r="A14" s="52" t="s">
        <v>11</v>
      </c>
      <c r="B14" s="52" t="s">
        <v>12</v>
      </c>
      <c r="C14" s="52" t="s">
        <v>13</v>
      </c>
      <c r="D14" s="52" t="s">
        <v>14</v>
      </c>
      <c r="E14" s="52" t="s">
        <v>15</v>
      </c>
      <c r="F14" s="52" t="s">
        <v>16</v>
      </c>
      <c r="G14" s="52" t="s">
        <v>17</v>
      </c>
      <c r="H14" s="52" t="s">
        <v>18</v>
      </c>
      <c r="I14" s="52" t="s">
        <v>19</v>
      </c>
    </row>
    <row r="15" spans="1:9" ht="15" customHeight="1">
      <c r="A15" s="53">
        <v>1</v>
      </c>
      <c r="B15" s="3"/>
      <c r="C15" s="3"/>
      <c r="D15" s="3">
        <v>1500</v>
      </c>
      <c r="E15" s="47" t="s">
        <v>20</v>
      </c>
      <c r="F15" s="4">
        <v>10000</v>
      </c>
      <c r="G15" s="54">
        <f t="shared" ref="G15:G46" si="0">IF(F15="","",F15*$C$11)</f>
        <v>10000</v>
      </c>
      <c r="H15" s="54">
        <f t="shared" ref="H15:H46" si="1">IF(D15="","",D15*G15)</f>
        <v>15000000</v>
      </c>
      <c r="I15" s="5"/>
    </row>
    <row r="16" spans="1:9" ht="15" customHeight="1">
      <c r="A16" s="53">
        <v>2</v>
      </c>
      <c r="B16" s="3"/>
      <c r="C16" s="3"/>
      <c r="D16" s="3"/>
      <c r="E16" s="47" t="s">
        <v>20</v>
      </c>
      <c r="F16" s="4"/>
      <c r="G16" s="54" t="str">
        <f t="shared" si="0"/>
        <v/>
      </c>
      <c r="H16" s="54" t="str">
        <f t="shared" si="1"/>
        <v/>
      </c>
      <c r="I16" s="5"/>
    </row>
    <row r="17" spans="1:9" ht="15" customHeight="1">
      <c r="A17" s="53">
        <v>3</v>
      </c>
      <c r="B17" s="3"/>
      <c r="C17" s="3"/>
      <c r="D17" s="3"/>
      <c r="E17" s="47" t="s">
        <v>20</v>
      </c>
      <c r="F17" s="4"/>
      <c r="G17" s="54" t="str">
        <f t="shared" si="0"/>
        <v/>
      </c>
      <c r="H17" s="54" t="str">
        <f t="shared" si="1"/>
        <v/>
      </c>
      <c r="I17" s="5"/>
    </row>
    <row r="18" spans="1:9" ht="15" customHeight="1">
      <c r="A18" s="53">
        <v>4</v>
      </c>
      <c r="B18" s="3"/>
      <c r="C18" s="3"/>
      <c r="D18" s="3"/>
      <c r="E18" s="47" t="s">
        <v>20</v>
      </c>
      <c r="F18" s="4"/>
      <c r="G18" s="54" t="str">
        <f t="shared" si="0"/>
        <v/>
      </c>
      <c r="H18" s="54" t="str">
        <f t="shared" si="1"/>
        <v/>
      </c>
      <c r="I18" s="5"/>
    </row>
    <row r="19" spans="1:9" ht="15" customHeight="1">
      <c r="A19" s="53">
        <v>5</v>
      </c>
      <c r="B19" s="3"/>
      <c r="C19" s="3"/>
      <c r="D19" s="3"/>
      <c r="E19" s="47" t="s">
        <v>20</v>
      </c>
      <c r="F19" s="4"/>
      <c r="G19" s="54" t="str">
        <f t="shared" si="0"/>
        <v/>
      </c>
      <c r="H19" s="54" t="str">
        <f t="shared" si="1"/>
        <v/>
      </c>
      <c r="I19" s="5"/>
    </row>
    <row r="20" spans="1:9" ht="15" customHeight="1">
      <c r="A20" s="53">
        <v>6</v>
      </c>
      <c r="B20" s="3"/>
      <c r="C20" s="3"/>
      <c r="D20" s="3"/>
      <c r="E20" s="47" t="s">
        <v>20</v>
      </c>
      <c r="F20" s="4"/>
      <c r="G20" s="54" t="str">
        <f t="shared" si="0"/>
        <v/>
      </c>
      <c r="H20" s="54" t="str">
        <f t="shared" si="1"/>
        <v/>
      </c>
      <c r="I20" s="5"/>
    </row>
    <row r="21" spans="1:9" ht="15" customHeight="1">
      <c r="A21" s="53">
        <v>7</v>
      </c>
      <c r="B21" s="3"/>
      <c r="C21" s="3"/>
      <c r="D21" s="3"/>
      <c r="E21" s="47" t="s">
        <v>20</v>
      </c>
      <c r="F21" s="4"/>
      <c r="G21" s="54" t="str">
        <f t="shared" si="0"/>
        <v/>
      </c>
      <c r="H21" s="54" t="str">
        <f t="shared" si="1"/>
        <v/>
      </c>
      <c r="I21" s="5"/>
    </row>
    <row r="22" spans="1:9" ht="15" customHeight="1">
      <c r="A22" s="53">
        <v>8</v>
      </c>
      <c r="B22" s="3"/>
      <c r="C22" s="3"/>
      <c r="D22" s="3"/>
      <c r="E22" s="47" t="s">
        <v>20</v>
      </c>
      <c r="F22" s="4"/>
      <c r="G22" s="54" t="str">
        <f t="shared" si="0"/>
        <v/>
      </c>
      <c r="H22" s="54" t="str">
        <f t="shared" si="1"/>
        <v/>
      </c>
      <c r="I22" s="5"/>
    </row>
    <row r="23" spans="1:9" ht="15" customHeight="1">
      <c r="A23" s="53">
        <v>9</v>
      </c>
      <c r="B23" s="3"/>
      <c r="C23" s="3"/>
      <c r="D23" s="3"/>
      <c r="E23" s="47" t="s">
        <v>20</v>
      </c>
      <c r="F23" s="4"/>
      <c r="G23" s="54" t="str">
        <f t="shared" si="0"/>
        <v/>
      </c>
      <c r="H23" s="54" t="str">
        <f t="shared" si="1"/>
        <v/>
      </c>
      <c r="I23" s="5"/>
    </row>
    <row r="24" spans="1:9" ht="15" customHeight="1">
      <c r="A24" s="53">
        <v>10</v>
      </c>
      <c r="B24" s="3"/>
      <c r="C24" s="3"/>
      <c r="D24" s="3"/>
      <c r="E24" s="47" t="s">
        <v>20</v>
      </c>
      <c r="F24" s="4"/>
      <c r="G24" s="54" t="str">
        <f t="shared" si="0"/>
        <v/>
      </c>
      <c r="H24" s="54" t="str">
        <f t="shared" si="1"/>
        <v/>
      </c>
      <c r="I24" s="5"/>
    </row>
    <row r="25" spans="1:9" ht="15" customHeight="1">
      <c r="A25" s="53">
        <v>11</v>
      </c>
      <c r="B25" s="3"/>
      <c r="C25" s="3"/>
      <c r="D25" s="3"/>
      <c r="E25" s="47" t="s">
        <v>20</v>
      </c>
      <c r="F25" s="4"/>
      <c r="G25" s="54" t="str">
        <f t="shared" si="0"/>
        <v/>
      </c>
      <c r="H25" s="54" t="str">
        <f t="shared" si="1"/>
        <v/>
      </c>
      <c r="I25" s="5"/>
    </row>
    <row r="26" spans="1:9" ht="15" customHeight="1">
      <c r="A26" s="53">
        <v>12</v>
      </c>
      <c r="B26" s="3"/>
      <c r="C26" s="3"/>
      <c r="D26" s="3"/>
      <c r="E26" s="47" t="s">
        <v>20</v>
      </c>
      <c r="F26" s="4"/>
      <c r="G26" s="54" t="str">
        <f t="shared" si="0"/>
        <v/>
      </c>
      <c r="H26" s="54" t="str">
        <f t="shared" si="1"/>
        <v/>
      </c>
      <c r="I26" s="5"/>
    </row>
    <row r="27" spans="1:9" ht="15" customHeight="1">
      <c r="A27" s="53">
        <v>13</v>
      </c>
      <c r="B27" s="3"/>
      <c r="C27" s="3"/>
      <c r="D27" s="3"/>
      <c r="E27" s="47" t="s">
        <v>20</v>
      </c>
      <c r="F27" s="4"/>
      <c r="G27" s="54" t="str">
        <f t="shared" si="0"/>
        <v/>
      </c>
      <c r="H27" s="54" t="str">
        <f t="shared" si="1"/>
        <v/>
      </c>
      <c r="I27" s="5"/>
    </row>
    <row r="28" spans="1:9" ht="15" customHeight="1">
      <c r="A28" s="53">
        <v>14</v>
      </c>
      <c r="B28" s="3"/>
      <c r="C28" s="3"/>
      <c r="D28" s="3"/>
      <c r="E28" s="47" t="s">
        <v>20</v>
      </c>
      <c r="F28" s="4"/>
      <c r="G28" s="54" t="str">
        <f t="shared" si="0"/>
        <v/>
      </c>
      <c r="H28" s="54" t="str">
        <f t="shared" si="1"/>
        <v/>
      </c>
      <c r="I28" s="5"/>
    </row>
    <row r="29" spans="1:9" ht="15" customHeight="1">
      <c r="A29" s="53">
        <v>15</v>
      </c>
      <c r="B29" s="3"/>
      <c r="C29" s="3"/>
      <c r="D29" s="3"/>
      <c r="E29" s="47" t="s">
        <v>20</v>
      </c>
      <c r="F29" s="4"/>
      <c r="G29" s="54" t="str">
        <f t="shared" si="0"/>
        <v/>
      </c>
      <c r="H29" s="54" t="str">
        <f t="shared" si="1"/>
        <v/>
      </c>
      <c r="I29" s="5"/>
    </row>
    <row r="30" spans="1:9" ht="15" customHeight="1">
      <c r="A30" s="53">
        <v>16</v>
      </c>
      <c r="B30" s="3"/>
      <c r="C30" s="3"/>
      <c r="D30" s="3"/>
      <c r="E30" s="47" t="s">
        <v>20</v>
      </c>
      <c r="F30" s="4"/>
      <c r="G30" s="54" t="str">
        <f t="shared" si="0"/>
        <v/>
      </c>
      <c r="H30" s="54" t="str">
        <f t="shared" si="1"/>
        <v/>
      </c>
      <c r="I30" s="5"/>
    </row>
    <row r="31" spans="1:9" ht="15" customHeight="1">
      <c r="A31" s="53">
        <v>17</v>
      </c>
      <c r="B31" s="3"/>
      <c r="C31" s="3"/>
      <c r="D31" s="3"/>
      <c r="E31" s="47" t="s">
        <v>20</v>
      </c>
      <c r="F31" s="4"/>
      <c r="G31" s="54" t="str">
        <f t="shared" si="0"/>
        <v/>
      </c>
      <c r="H31" s="54" t="str">
        <f t="shared" si="1"/>
        <v/>
      </c>
      <c r="I31" s="5"/>
    </row>
    <row r="32" spans="1:9" ht="15" customHeight="1">
      <c r="A32" s="53">
        <v>18</v>
      </c>
      <c r="B32" s="3"/>
      <c r="C32" s="3"/>
      <c r="D32" s="3"/>
      <c r="E32" s="47" t="s">
        <v>20</v>
      </c>
      <c r="F32" s="4"/>
      <c r="G32" s="54" t="str">
        <f t="shared" si="0"/>
        <v/>
      </c>
      <c r="H32" s="54" t="str">
        <f t="shared" si="1"/>
        <v/>
      </c>
      <c r="I32" s="5"/>
    </row>
    <row r="33" spans="1:9" ht="15" customHeight="1">
      <c r="A33" s="53">
        <v>19</v>
      </c>
      <c r="B33" s="3"/>
      <c r="C33" s="3"/>
      <c r="D33" s="3"/>
      <c r="E33" s="47" t="s">
        <v>20</v>
      </c>
      <c r="F33" s="4"/>
      <c r="G33" s="54" t="str">
        <f t="shared" si="0"/>
        <v/>
      </c>
      <c r="H33" s="54" t="str">
        <f t="shared" si="1"/>
        <v/>
      </c>
      <c r="I33" s="5"/>
    </row>
    <row r="34" spans="1:9" ht="15" customHeight="1">
      <c r="A34" s="53">
        <v>20</v>
      </c>
      <c r="B34" s="3"/>
      <c r="C34" s="3"/>
      <c r="D34" s="3"/>
      <c r="E34" s="47" t="s">
        <v>20</v>
      </c>
      <c r="F34" s="4"/>
      <c r="G34" s="54" t="str">
        <f t="shared" si="0"/>
        <v/>
      </c>
      <c r="H34" s="54" t="str">
        <f t="shared" si="1"/>
        <v/>
      </c>
      <c r="I34" s="5"/>
    </row>
    <row r="35" spans="1:9" ht="15" customHeight="1">
      <c r="A35" s="53">
        <v>21</v>
      </c>
      <c r="B35" s="3"/>
      <c r="C35" s="3"/>
      <c r="D35" s="3"/>
      <c r="E35" s="47" t="s">
        <v>20</v>
      </c>
      <c r="F35" s="4"/>
      <c r="G35" s="54" t="str">
        <f t="shared" si="0"/>
        <v/>
      </c>
      <c r="H35" s="54" t="str">
        <f t="shared" si="1"/>
        <v/>
      </c>
      <c r="I35" s="5"/>
    </row>
    <row r="36" spans="1:9" ht="15" customHeight="1">
      <c r="A36" s="53">
        <v>22</v>
      </c>
      <c r="B36" s="3"/>
      <c r="C36" s="3"/>
      <c r="D36" s="3"/>
      <c r="E36" s="47" t="s">
        <v>20</v>
      </c>
      <c r="F36" s="4"/>
      <c r="G36" s="54" t="str">
        <f t="shared" si="0"/>
        <v/>
      </c>
      <c r="H36" s="54" t="str">
        <f t="shared" si="1"/>
        <v/>
      </c>
      <c r="I36" s="5"/>
    </row>
    <row r="37" spans="1:9" ht="15" customHeight="1">
      <c r="A37" s="53">
        <v>23</v>
      </c>
      <c r="B37" s="3"/>
      <c r="C37" s="3"/>
      <c r="D37" s="3"/>
      <c r="E37" s="47" t="s">
        <v>20</v>
      </c>
      <c r="F37" s="4"/>
      <c r="G37" s="54" t="str">
        <f t="shared" si="0"/>
        <v/>
      </c>
      <c r="H37" s="54" t="str">
        <f t="shared" si="1"/>
        <v/>
      </c>
      <c r="I37" s="5"/>
    </row>
    <row r="38" spans="1:9" ht="15" customHeight="1">
      <c r="A38" s="53">
        <v>24</v>
      </c>
      <c r="B38" s="3"/>
      <c r="C38" s="3"/>
      <c r="D38" s="3"/>
      <c r="E38" s="47" t="s">
        <v>20</v>
      </c>
      <c r="F38" s="4"/>
      <c r="G38" s="54" t="str">
        <f t="shared" si="0"/>
        <v/>
      </c>
      <c r="H38" s="54" t="str">
        <f t="shared" si="1"/>
        <v/>
      </c>
      <c r="I38" s="5"/>
    </row>
    <row r="39" spans="1:9" ht="15" customHeight="1">
      <c r="A39" s="53">
        <v>25</v>
      </c>
      <c r="B39" s="3"/>
      <c r="C39" s="3"/>
      <c r="D39" s="3"/>
      <c r="E39" s="47" t="s">
        <v>20</v>
      </c>
      <c r="F39" s="4"/>
      <c r="G39" s="54" t="str">
        <f t="shared" si="0"/>
        <v/>
      </c>
      <c r="H39" s="54" t="str">
        <f t="shared" si="1"/>
        <v/>
      </c>
      <c r="I39" s="5"/>
    </row>
    <row r="40" spans="1:9" ht="15" customHeight="1">
      <c r="A40" s="53">
        <v>26</v>
      </c>
      <c r="B40" s="3"/>
      <c r="C40" s="3"/>
      <c r="D40" s="3"/>
      <c r="E40" s="47" t="s">
        <v>20</v>
      </c>
      <c r="F40" s="4"/>
      <c r="G40" s="54" t="str">
        <f t="shared" si="0"/>
        <v/>
      </c>
      <c r="H40" s="54" t="str">
        <f t="shared" si="1"/>
        <v/>
      </c>
      <c r="I40" s="5"/>
    </row>
    <row r="41" spans="1:9" ht="15" customHeight="1">
      <c r="A41" s="53">
        <v>27</v>
      </c>
      <c r="B41" s="3"/>
      <c r="C41" s="3"/>
      <c r="D41" s="3"/>
      <c r="E41" s="47" t="s">
        <v>20</v>
      </c>
      <c r="F41" s="4"/>
      <c r="G41" s="54" t="str">
        <f t="shared" si="0"/>
        <v/>
      </c>
      <c r="H41" s="54" t="str">
        <f t="shared" si="1"/>
        <v/>
      </c>
      <c r="I41" s="5"/>
    </row>
    <row r="42" spans="1:9" ht="15" customHeight="1">
      <c r="A42" s="53">
        <v>28</v>
      </c>
      <c r="B42" s="3"/>
      <c r="C42" s="3"/>
      <c r="D42" s="3"/>
      <c r="E42" s="47" t="s">
        <v>20</v>
      </c>
      <c r="F42" s="4"/>
      <c r="G42" s="54" t="str">
        <f t="shared" si="0"/>
        <v/>
      </c>
      <c r="H42" s="54" t="str">
        <f t="shared" si="1"/>
        <v/>
      </c>
      <c r="I42" s="5"/>
    </row>
    <row r="43" spans="1:9" ht="15" customHeight="1">
      <c r="A43" s="53">
        <v>29</v>
      </c>
      <c r="B43" s="3"/>
      <c r="C43" s="3"/>
      <c r="D43" s="3"/>
      <c r="E43" s="47" t="s">
        <v>20</v>
      </c>
      <c r="F43" s="4"/>
      <c r="G43" s="54" t="str">
        <f t="shared" si="0"/>
        <v/>
      </c>
      <c r="H43" s="54" t="str">
        <f t="shared" si="1"/>
        <v/>
      </c>
      <c r="I43" s="5"/>
    </row>
    <row r="44" spans="1:9" ht="15" customHeight="1">
      <c r="A44" s="53">
        <v>30</v>
      </c>
      <c r="B44" s="3"/>
      <c r="C44" s="3"/>
      <c r="D44" s="3"/>
      <c r="E44" s="47" t="s">
        <v>20</v>
      </c>
      <c r="F44" s="4"/>
      <c r="G44" s="54" t="str">
        <f t="shared" si="0"/>
        <v/>
      </c>
      <c r="H44" s="54" t="str">
        <f t="shared" si="1"/>
        <v/>
      </c>
      <c r="I44" s="5"/>
    </row>
    <row r="45" spans="1:9" ht="15" customHeight="1">
      <c r="A45" s="55">
        <v>31</v>
      </c>
      <c r="B45" s="3"/>
      <c r="C45" s="3"/>
      <c r="D45" s="3"/>
      <c r="E45" s="47" t="s">
        <v>20</v>
      </c>
      <c r="F45" s="4"/>
      <c r="G45" s="54" t="str">
        <f t="shared" si="0"/>
        <v/>
      </c>
      <c r="H45" s="54" t="str">
        <f t="shared" ref="H45" si="2">IF(D45="","",D45*G45)</f>
        <v/>
      </c>
      <c r="I45" s="5"/>
    </row>
    <row r="46" spans="1:9" ht="15" customHeight="1">
      <c r="A46" s="53">
        <v>32</v>
      </c>
      <c r="B46" s="3"/>
      <c r="C46" s="3"/>
      <c r="D46" s="3"/>
      <c r="E46" s="47" t="s">
        <v>20</v>
      </c>
      <c r="F46" s="4"/>
      <c r="G46" s="54" t="str">
        <f t="shared" si="0"/>
        <v/>
      </c>
      <c r="H46" s="54" t="str">
        <f t="shared" si="1"/>
        <v/>
      </c>
      <c r="I46" s="5"/>
    </row>
    <row r="47" spans="1:9" ht="15" customHeight="1">
      <c r="A47" s="53">
        <v>33</v>
      </c>
      <c r="B47" s="3"/>
      <c r="C47" s="3"/>
      <c r="D47" s="3"/>
      <c r="E47" s="47" t="s">
        <v>20</v>
      </c>
      <c r="F47" s="4"/>
      <c r="G47" s="54" t="str">
        <f t="shared" ref="G47:G78" si="3">IF(F47="","",F47*$C$11)</f>
        <v/>
      </c>
      <c r="H47" s="54" t="str">
        <f t="shared" ref="H47:H78" si="4">IF(D47="","",D47*G47)</f>
        <v/>
      </c>
      <c r="I47" s="5"/>
    </row>
    <row r="48" spans="1:9" ht="15" customHeight="1">
      <c r="A48" s="53">
        <v>34</v>
      </c>
      <c r="B48" s="3"/>
      <c r="C48" s="3"/>
      <c r="D48" s="3"/>
      <c r="E48" s="47" t="s">
        <v>20</v>
      </c>
      <c r="F48" s="4"/>
      <c r="G48" s="54" t="str">
        <f t="shared" si="3"/>
        <v/>
      </c>
      <c r="H48" s="54" t="str">
        <f t="shared" si="4"/>
        <v/>
      </c>
      <c r="I48" s="5"/>
    </row>
    <row r="49" spans="1:9" ht="15" customHeight="1">
      <c r="A49" s="53">
        <v>35</v>
      </c>
      <c r="B49" s="3"/>
      <c r="C49" s="3"/>
      <c r="D49" s="3"/>
      <c r="E49" s="47" t="s">
        <v>20</v>
      </c>
      <c r="F49" s="4"/>
      <c r="G49" s="54" t="str">
        <f t="shared" si="3"/>
        <v/>
      </c>
      <c r="H49" s="54" t="str">
        <f t="shared" si="4"/>
        <v/>
      </c>
      <c r="I49" s="5"/>
    </row>
    <row r="50" spans="1:9" ht="15" customHeight="1">
      <c r="A50" s="53">
        <v>36</v>
      </c>
      <c r="B50" s="3"/>
      <c r="C50" s="3"/>
      <c r="D50" s="3"/>
      <c r="E50" s="47" t="s">
        <v>20</v>
      </c>
      <c r="F50" s="4"/>
      <c r="G50" s="54" t="str">
        <f t="shared" si="3"/>
        <v/>
      </c>
      <c r="H50" s="54" t="str">
        <f t="shared" si="4"/>
        <v/>
      </c>
      <c r="I50" s="5"/>
    </row>
    <row r="51" spans="1:9" ht="15" customHeight="1">
      <c r="A51" s="53">
        <v>37</v>
      </c>
      <c r="B51" s="3"/>
      <c r="C51" s="3"/>
      <c r="D51" s="3"/>
      <c r="E51" s="47" t="s">
        <v>20</v>
      </c>
      <c r="F51" s="4"/>
      <c r="G51" s="54" t="str">
        <f t="shared" si="3"/>
        <v/>
      </c>
      <c r="H51" s="54" t="str">
        <f t="shared" si="4"/>
        <v/>
      </c>
      <c r="I51" s="5"/>
    </row>
    <row r="52" spans="1:9" ht="15" customHeight="1">
      <c r="A52" s="53">
        <v>38</v>
      </c>
      <c r="B52" s="3"/>
      <c r="C52" s="3"/>
      <c r="D52" s="3"/>
      <c r="E52" s="47" t="s">
        <v>20</v>
      </c>
      <c r="F52" s="4"/>
      <c r="G52" s="54" t="str">
        <f t="shared" si="3"/>
        <v/>
      </c>
      <c r="H52" s="54" t="str">
        <f t="shared" si="4"/>
        <v/>
      </c>
      <c r="I52" s="5"/>
    </row>
    <row r="53" spans="1:9" ht="15" customHeight="1">
      <c r="A53" s="53">
        <v>39</v>
      </c>
      <c r="B53" s="3"/>
      <c r="C53" s="3"/>
      <c r="D53" s="3"/>
      <c r="E53" s="47" t="s">
        <v>20</v>
      </c>
      <c r="F53" s="4"/>
      <c r="G53" s="54" t="str">
        <f>IF(F53="","",F53*$C$11)</f>
        <v/>
      </c>
      <c r="H53" s="54" t="str">
        <f t="shared" si="4"/>
        <v/>
      </c>
      <c r="I53" s="5"/>
    </row>
    <row r="54" spans="1:9" ht="15" customHeight="1">
      <c r="A54" s="53">
        <v>40</v>
      </c>
      <c r="B54" s="3"/>
      <c r="C54" s="3"/>
      <c r="D54" s="3"/>
      <c r="E54" s="47" t="s">
        <v>20</v>
      </c>
      <c r="F54" s="4"/>
      <c r="G54" s="54" t="str">
        <f t="shared" si="3"/>
        <v/>
      </c>
      <c r="H54" s="54" t="str">
        <f t="shared" si="4"/>
        <v/>
      </c>
      <c r="I54" s="5"/>
    </row>
    <row r="55" spans="1:9" ht="15" customHeight="1">
      <c r="A55" s="53">
        <v>41</v>
      </c>
      <c r="B55" s="3"/>
      <c r="C55" s="3"/>
      <c r="D55" s="3"/>
      <c r="E55" s="47" t="s">
        <v>20</v>
      </c>
      <c r="F55" s="4"/>
      <c r="G55" s="54" t="str">
        <f>IF(F55="","",F55*$C$11)</f>
        <v/>
      </c>
      <c r="H55" s="54" t="str">
        <f t="shared" si="4"/>
        <v/>
      </c>
      <c r="I55" s="5"/>
    </row>
    <row r="56" spans="1:9" ht="15" customHeight="1">
      <c r="A56" s="53">
        <v>42</v>
      </c>
      <c r="B56" s="3"/>
      <c r="C56" s="3"/>
      <c r="D56" s="3"/>
      <c r="E56" s="47" t="s">
        <v>20</v>
      </c>
      <c r="F56" s="4"/>
      <c r="G56" s="54" t="str">
        <f t="shared" si="3"/>
        <v/>
      </c>
      <c r="H56" s="54" t="str">
        <f t="shared" si="4"/>
        <v/>
      </c>
      <c r="I56" s="5"/>
    </row>
    <row r="57" spans="1:9" ht="15" customHeight="1">
      <c r="A57" s="53">
        <v>43</v>
      </c>
      <c r="B57" s="3"/>
      <c r="C57" s="3"/>
      <c r="D57" s="3"/>
      <c r="E57" s="47" t="s">
        <v>20</v>
      </c>
      <c r="F57" s="4"/>
      <c r="G57" s="54" t="str">
        <f t="shared" si="3"/>
        <v/>
      </c>
      <c r="H57" s="54" t="str">
        <f t="shared" si="4"/>
        <v/>
      </c>
      <c r="I57" s="5"/>
    </row>
    <row r="58" spans="1:9" ht="15" customHeight="1">
      <c r="A58" s="53">
        <v>44</v>
      </c>
      <c r="B58" s="3"/>
      <c r="C58" s="3"/>
      <c r="D58" s="3"/>
      <c r="E58" s="47" t="s">
        <v>20</v>
      </c>
      <c r="F58" s="4"/>
      <c r="G58" s="54" t="str">
        <f t="shared" si="3"/>
        <v/>
      </c>
      <c r="H58" s="54" t="str">
        <f t="shared" si="4"/>
        <v/>
      </c>
      <c r="I58" s="5"/>
    </row>
    <row r="59" spans="1:9" ht="15" customHeight="1">
      <c r="A59" s="53">
        <v>45</v>
      </c>
      <c r="B59" s="3"/>
      <c r="C59" s="3"/>
      <c r="D59" s="3"/>
      <c r="E59" s="47" t="s">
        <v>20</v>
      </c>
      <c r="F59" s="4"/>
      <c r="G59" s="54" t="str">
        <f t="shared" si="3"/>
        <v/>
      </c>
      <c r="H59" s="54" t="str">
        <f t="shared" si="4"/>
        <v/>
      </c>
      <c r="I59" s="5"/>
    </row>
    <row r="60" spans="1:9" ht="15" customHeight="1">
      <c r="A60" s="53">
        <v>46</v>
      </c>
      <c r="B60" s="3"/>
      <c r="C60" s="3"/>
      <c r="D60" s="3"/>
      <c r="E60" s="47" t="s">
        <v>20</v>
      </c>
      <c r="F60" s="4"/>
      <c r="G60" s="54" t="str">
        <f t="shared" si="3"/>
        <v/>
      </c>
      <c r="H60" s="54" t="str">
        <f t="shared" si="4"/>
        <v/>
      </c>
      <c r="I60" s="5"/>
    </row>
    <row r="61" spans="1:9" ht="15" customHeight="1">
      <c r="A61" s="53">
        <v>47</v>
      </c>
      <c r="B61" s="3"/>
      <c r="C61" s="3"/>
      <c r="D61" s="3"/>
      <c r="E61" s="47" t="s">
        <v>20</v>
      </c>
      <c r="F61" s="4"/>
      <c r="G61" s="54" t="str">
        <f t="shared" si="3"/>
        <v/>
      </c>
      <c r="H61" s="54" t="str">
        <f t="shared" si="4"/>
        <v/>
      </c>
      <c r="I61" s="5"/>
    </row>
    <row r="62" spans="1:9" ht="15" customHeight="1">
      <c r="A62" s="53">
        <v>48</v>
      </c>
      <c r="B62" s="3"/>
      <c r="C62" s="3"/>
      <c r="D62" s="3"/>
      <c r="E62" s="47" t="s">
        <v>20</v>
      </c>
      <c r="F62" s="4"/>
      <c r="G62" s="54" t="str">
        <f t="shared" si="3"/>
        <v/>
      </c>
      <c r="H62" s="54" t="str">
        <f t="shared" si="4"/>
        <v/>
      </c>
      <c r="I62" s="5"/>
    </row>
    <row r="63" spans="1:9" ht="15" customHeight="1">
      <c r="A63" s="53">
        <v>49</v>
      </c>
      <c r="B63" s="3"/>
      <c r="C63" s="3"/>
      <c r="D63" s="3"/>
      <c r="E63" s="47" t="s">
        <v>20</v>
      </c>
      <c r="F63" s="4"/>
      <c r="G63" s="54" t="str">
        <f t="shared" si="3"/>
        <v/>
      </c>
      <c r="H63" s="54" t="str">
        <f t="shared" si="4"/>
        <v/>
      </c>
      <c r="I63" s="5"/>
    </row>
    <row r="64" spans="1:9" ht="15" customHeight="1">
      <c r="A64" s="53">
        <v>50</v>
      </c>
      <c r="B64" s="3"/>
      <c r="C64" s="3"/>
      <c r="D64" s="3"/>
      <c r="E64" s="47" t="s">
        <v>20</v>
      </c>
      <c r="F64" s="4"/>
      <c r="G64" s="54" t="str">
        <f t="shared" si="3"/>
        <v/>
      </c>
      <c r="H64" s="54" t="str">
        <f t="shared" si="4"/>
        <v/>
      </c>
      <c r="I64" s="5"/>
    </row>
    <row r="65" spans="1:9" ht="15" customHeight="1">
      <c r="A65" s="53">
        <v>51</v>
      </c>
      <c r="B65" s="3"/>
      <c r="C65" s="3"/>
      <c r="D65" s="3"/>
      <c r="E65" s="47" t="s">
        <v>20</v>
      </c>
      <c r="F65" s="4"/>
      <c r="G65" s="54" t="str">
        <f t="shared" si="3"/>
        <v/>
      </c>
      <c r="H65" s="54" t="str">
        <f t="shared" si="4"/>
        <v/>
      </c>
      <c r="I65" s="5"/>
    </row>
    <row r="66" spans="1:9" ht="15" customHeight="1">
      <c r="A66" s="53">
        <v>52</v>
      </c>
      <c r="B66" s="3"/>
      <c r="C66" s="3"/>
      <c r="D66" s="3"/>
      <c r="E66" s="47" t="s">
        <v>20</v>
      </c>
      <c r="F66" s="4"/>
      <c r="G66" s="54" t="str">
        <f t="shared" si="3"/>
        <v/>
      </c>
      <c r="H66" s="54" t="str">
        <f t="shared" si="4"/>
        <v/>
      </c>
      <c r="I66" s="5"/>
    </row>
    <row r="67" spans="1:9" ht="15" customHeight="1">
      <c r="A67" s="53">
        <v>53</v>
      </c>
      <c r="B67" s="3"/>
      <c r="C67" s="3"/>
      <c r="D67" s="3"/>
      <c r="E67" s="47" t="s">
        <v>20</v>
      </c>
      <c r="F67" s="4"/>
      <c r="G67" s="54" t="str">
        <f t="shared" si="3"/>
        <v/>
      </c>
      <c r="H67" s="54" t="str">
        <f t="shared" si="4"/>
        <v/>
      </c>
      <c r="I67" s="5"/>
    </row>
    <row r="68" spans="1:9" ht="15" customHeight="1">
      <c r="A68" s="53">
        <v>54</v>
      </c>
      <c r="B68" s="3"/>
      <c r="C68" s="3"/>
      <c r="D68" s="3"/>
      <c r="E68" s="47" t="s">
        <v>20</v>
      </c>
      <c r="F68" s="4"/>
      <c r="G68" s="54" t="str">
        <f t="shared" si="3"/>
        <v/>
      </c>
      <c r="H68" s="54" t="str">
        <f t="shared" si="4"/>
        <v/>
      </c>
      <c r="I68" s="5"/>
    </row>
    <row r="69" spans="1:9" ht="15" customHeight="1">
      <c r="A69" s="53">
        <v>55</v>
      </c>
      <c r="B69" s="3"/>
      <c r="C69" s="3"/>
      <c r="D69" s="3"/>
      <c r="E69" s="47" t="s">
        <v>20</v>
      </c>
      <c r="F69" s="4"/>
      <c r="G69" s="54" t="str">
        <f t="shared" si="3"/>
        <v/>
      </c>
      <c r="H69" s="54" t="str">
        <f t="shared" si="4"/>
        <v/>
      </c>
      <c r="I69" s="5"/>
    </row>
    <row r="70" spans="1:9" ht="15" customHeight="1">
      <c r="A70" s="53">
        <v>56</v>
      </c>
      <c r="B70" s="3"/>
      <c r="C70" s="3"/>
      <c r="D70" s="3"/>
      <c r="E70" s="47" t="s">
        <v>20</v>
      </c>
      <c r="F70" s="4"/>
      <c r="G70" s="54" t="str">
        <f t="shared" si="3"/>
        <v/>
      </c>
      <c r="H70" s="54" t="str">
        <f t="shared" si="4"/>
        <v/>
      </c>
      <c r="I70" s="5"/>
    </row>
    <row r="71" spans="1:9" ht="15" customHeight="1">
      <c r="A71" s="53">
        <v>57</v>
      </c>
      <c r="B71" s="3"/>
      <c r="C71" s="3"/>
      <c r="D71" s="3"/>
      <c r="E71" s="47" t="s">
        <v>20</v>
      </c>
      <c r="F71" s="4"/>
      <c r="G71" s="54" t="str">
        <f t="shared" si="3"/>
        <v/>
      </c>
      <c r="H71" s="54" t="str">
        <f t="shared" si="4"/>
        <v/>
      </c>
      <c r="I71" s="5"/>
    </row>
    <row r="72" spans="1:9" ht="15" customHeight="1">
      <c r="A72" s="53">
        <v>58</v>
      </c>
      <c r="B72" s="3"/>
      <c r="C72" s="3"/>
      <c r="D72" s="3"/>
      <c r="E72" s="47" t="s">
        <v>20</v>
      </c>
      <c r="F72" s="4"/>
      <c r="G72" s="54" t="str">
        <f t="shared" si="3"/>
        <v/>
      </c>
      <c r="H72" s="54" t="str">
        <f t="shared" si="4"/>
        <v/>
      </c>
      <c r="I72" s="5"/>
    </row>
    <row r="73" spans="1:9" ht="15" customHeight="1">
      <c r="A73" s="53">
        <v>59</v>
      </c>
      <c r="B73" s="3"/>
      <c r="C73" s="3"/>
      <c r="D73" s="3"/>
      <c r="E73" s="47" t="s">
        <v>20</v>
      </c>
      <c r="F73" s="4"/>
      <c r="G73" s="54" t="str">
        <f t="shared" si="3"/>
        <v/>
      </c>
      <c r="H73" s="54" t="str">
        <f t="shared" si="4"/>
        <v/>
      </c>
      <c r="I73" s="5"/>
    </row>
    <row r="74" spans="1:9" ht="15" customHeight="1">
      <c r="A74" s="53">
        <v>60</v>
      </c>
      <c r="B74" s="3"/>
      <c r="C74" s="3"/>
      <c r="D74" s="3"/>
      <c r="E74" s="47" t="s">
        <v>20</v>
      </c>
      <c r="F74" s="4"/>
      <c r="G74" s="54" t="str">
        <f t="shared" si="3"/>
        <v/>
      </c>
      <c r="H74" s="54" t="str">
        <f t="shared" si="4"/>
        <v/>
      </c>
      <c r="I74" s="5"/>
    </row>
    <row r="75" spans="1:9" ht="15" customHeight="1">
      <c r="A75" s="53">
        <v>61</v>
      </c>
      <c r="B75" s="3"/>
      <c r="C75" s="3"/>
      <c r="D75" s="3"/>
      <c r="E75" s="47" t="s">
        <v>20</v>
      </c>
      <c r="F75" s="4"/>
      <c r="G75" s="54" t="str">
        <f t="shared" si="3"/>
        <v/>
      </c>
      <c r="H75" s="54" t="str">
        <f t="shared" si="4"/>
        <v/>
      </c>
      <c r="I75" s="5"/>
    </row>
    <row r="76" spans="1:9" ht="15" customHeight="1">
      <c r="A76" s="53">
        <v>62</v>
      </c>
      <c r="B76" s="3"/>
      <c r="C76" s="3"/>
      <c r="D76" s="3"/>
      <c r="E76" s="47" t="s">
        <v>20</v>
      </c>
      <c r="F76" s="4"/>
      <c r="G76" s="54" t="str">
        <f t="shared" si="3"/>
        <v/>
      </c>
      <c r="H76" s="54" t="str">
        <f t="shared" si="4"/>
        <v/>
      </c>
      <c r="I76" s="5"/>
    </row>
    <row r="77" spans="1:9" ht="15" customHeight="1">
      <c r="A77" s="53">
        <v>63</v>
      </c>
      <c r="B77" s="3"/>
      <c r="C77" s="3"/>
      <c r="D77" s="3"/>
      <c r="E77" s="47" t="s">
        <v>20</v>
      </c>
      <c r="F77" s="4"/>
      <c r="G77" s="54" t="str">
        <f t="shared" si="3"/>
        <v/>
      </c>
      <c r="H77" s="54" t="str">
        <f t="shared" si="4"/>
        <v/>
      </c>
      <c r="I77" s="5"/>
    </row>
    <row r="78" spans="1:9" ht="15" customHeight="1">
      <c r="A78" s="53">
        <v>64</v>
      </c>
      <c r="B78" s="3"/>
      <c r="C78" s="3"/>
      <c r="D78" s="3"/>
      <c r="E78" s="47" t="s">
        <v>20</v>
      </c>
      <c r="F78" s="4"/>
      <c r="G78" s="54" t="str">
        <f t="shared" si="3"/>
        <v/>
      </c>
      <c r="H78" s="54" t="str">
        <f t="shared" si="4"/>
        <v/>
      </c>
      <c r="I78" s="5"/>
    </row>
    <row r="79" spans="1:9" ht="15" customHeight="1">
      <c r="A79" s="53">
        <v>65</v>
      </c>
      <c r="B79" s="3"/>
      <c r="C79" s="3"/>
      <c r="D79" s="3"/>
      <c r="E79" s="47" t="s">
        <v>20</v>
      </c>
      <c r="F79" s="4"/>
      <c r="G79" s="54" t="str">
        <f t="shared" ref="G79:G110" si="5">IF(F79="","",F79*$C$11)</f>
        <v/>
      </c>
      <c r="H79" s="54" t="str">
        <f t="shared" ref="H79:H110" si="6">IF(D79="","",D79*G79)</f>
        <v/>
      </c>
      <c r="I79" s="5"/>
    </row>
    <row r="80" spans="1:9" ht="15" customHeight="1">
      <c r="A80" s="53">
        <v>66</v>
      </c>
      <c r="B80" s="3"/>
      <c r="C80" s="3"/>
      <c r="D80" s="3"/>
      <c r="E80" s="47" t="s">
        <v>20</v>
      </c>
      <c r="F80" s="4"/>
      <c r="G80" s="54" t="str">
        <f t="shared" si="5"/>
        <v/>
      </c>
      <c r="H80" s="54" t="str">
        <f t="shared" si="6"/>
        <v/>
      </c>
      <c r="I80" s="5"/>
    </row>
    <row r="81" spans="1:9" ht="15" customHeight="1">
      <c r="A81" s="53">
        <v>67</v>
      </c>
      <c r="B81" s="3"/>
      <c r="C81" s="3"/>
      <c r="D81" s="3"/>
      <c r="E81" s="47" t="s">
        <v>20</v>
      </c>
      <c r="F81" s="4"/>
      <c r="G81" s="54" t="str">
        <f t="shared" si="5"/>
        <v/>
      </c>
      <c r="H81" s="54" t="str">
        <f t="shared" si="6"/>
        <v/>
      </c>
      <c r="I81" s="5"/>
    </row>
    <row r="82" spans="1:9" ht="15" customHeight="1">
      <c r="A82" s="53">
        <v>68</v>
      </c>
      <c r="B82" s="3"/>
      <c r="C82" s="3"/>
      <c r="D82" s="3"/>
      <c r="E82" s="47" t="s">
        <v>20</v>
      </c>
      <c r="F82" s="4"/>
      <c r="G82" s="54" t="str">
        <f t="shared" si="5"/>
        <v/>
      </c>
      <c r="H82" s="54" t="str">
        <f t="shared" si="6"/>
        <v/>
      </c>
      <c r="I82" s="5"/>
    </row>
    <row r="83" spans="1:9" ht="15" customHeight="1">
      <c r="A83" s="53">
        <v>69</v>
      </c>
      <c r="B83" s="3"/>
      <c r="C83" s="3"/>
      <c r="D83" s="3"/>
      <c r="E83" s="47" t="s">
        <v>20</v>
      </c>
      <c r="F83" s="4"/>
      <c r="G83" s="54" t="str">
        <f t="shared" si="5"/>
        <v/>
      </c>
      <c r="H83" s="54" t="str">
        <f t="shared" si="6"/>
        <v/>
      </c>
      <c r="I83" s="5"/>
    </row>
    <row r="84" spans="1:9" ht="15" customHeight="1">
      <c r="A84" s="53">
        <v>70</v>
      </c>
      <c r="B84" s="3"/>
      <c r="C84" s="3"/>
      <c r="D84" s="3"/>
      <c r="E84" s="47" t="s">
        <v>20</v>
      </c>
      <c r="F84" s="4"/>
      <c r="G84" s="54" t="str">
        <f t="shared" si="5"/>
        <v/>
      </c>
      <c r="H84" s="54" t="str">
        <f t="shared" si="6"/>
        <v/>
      </c>
      <c r="I84" s="5"/>
    </row>
    <row r="85" spans="1:9" ht="15" customHeight="1">
      <c r="A85" s="53">
        <v>71</v>
      </c>
      <c r="B85" s="3"/>
      <c r="C85" s="3"/>
      <c r="D85" s="3"/>
      <c r="E85" s="47" t="s">
        <v>20</v>
      </c>
      <c r="F85" s="4"/>
      <c r="G85" s="54" t="str">
        <f t="shared" si="5"/>
        <v/>
      </c>
      <c r="H85" s="54" t="str">
        <f t="shared" si="6"/>
        <v/>
      </c>
      <c r="I85" s="5"/>
    </row>
    <row r="86" spans="1:9" ht="15" customHeight="1">
      <c r="A86" s="53">
        <v>72</v>
      </c>
      <c r="B86" s="3"/>
      <c r="C86" s="3"/>
      <c r="D86" s="3"/>
      <c r="E86" s="47" t="s">
        <v>20</v>
      </c>
      <c r="F86" s="4"/>
      <c r="G86" s="54" t="str">
        <f t="shared" si="5"/>
        <v/>
      </c>
      <c r="H86" s="54" t="str">
        <f t="shared" si="6"/>
        <v/>
      </c>
      <c r="I86" s="5"/>
    </row>
    <row r="87" spans="1:9" ht="15" customHeight="1">
      <c r="A87" s="53">
        <v>73</v>
      </c>
      <c r="B87" s="3"/>
      <c r="C87" s="3"/>
      <c r="D87" s="3"/>
      <c r="E87" s="47" t="s">
        <v>20</v>
      </c>
      <c r="F87" s="4"/>
      <c r="G87" s="54" t="str">
        <f t="shared" si="5"/>
        <v/>
      </c>
      <c r="H87" s="54" t="str">
        <f t="shared" si="6"/>
        <v/>
      </c>
      <c r="I87" s="5"/>
    </row>
    <row r="88" spans="1:9" ht="15" customHeight="1">
      <c r="A88" s="53">
        <v>74</v>
      </c>
      <c r="B88" s="3"/>
      <c r="C88" s="3"/>
      <c r="D88" s="3"/>
      <c r="E88" s="47" t="s">
        <v>20</v>
      </c>
      <c r="F88" s="4"/>
      <c r="G88" s="54" t="str">
        <f t="shared" si="5"/>
        <v/>
      </c>
      <c r="H88" s="54" t="str">
        <f t="shared" si="6"/>
        <v/>
      </c>
      <c r="I88" s="5"/>
    </row>
    <row r="89" spans="1:9" ht="15" customHeight="1">
      <c r="A89" s="53">
        <v>75</v>
      </c>
      <c r="B89" s="3"/>
      <c r="C89" s="3"/>
      <c r="D89" s="3"/>
      <c r="E89" s="47" t="s">
        <v>20</v>
      </c>
      <c r="F89" s="4"/>
      <c r="G89" s="54" t="str">
        <f t="shared" si="5"/>
        <v/>
      </c>
      <c r="H89" s="54" t="str">
        <f t="shared" si="6"/>
        <v/>
      </c>
      <c r="I89" s="5"/>
    </row>
    <row r="90" spans="1:9" ht="15" customHeight="1">
      <c r="A90" s="53">
        <v>76</v>
      </c>
      <c r="B90" s="3"/>
      <c r="C90" s="3"/>
      <c r="D90" s="3"/>
      <c r="E90" s="47" t="s">
        <v>20</v>
      </c>
      <c r="F90" s="4"/>
      <c r="G90" s="54" t="str">
        <f t="shared" si="5"/>
        <v/>
      </c>
      <c r="H90" s="54" t="str">
        <f t="shared" si="6"/>
        <v/>
      </c>
      <c r="I90" s="5"/>
    </row>
    <row r="91" spans="1:9" ht="15" customHeight="1">
      <c r="A91" s="53">
        <v>77</v>
      </c>
      <c r="B91" s="3"/>
      <c r="C91" s="3"/>
      <c r="D91" s="3"/>
      <c r="E91" s="47" t="s">
        <v>20</v>
      </c>
      <c r="F91" s="4"/>
      <c r="G91" s="54" t="str">
        <f t="shared" si="5"/>
        <v/>
      </c>
      <c r="H91" s="54" t="str">
        <f t="shared" si="6"/>
        <v/>
      </c>
      <c r="I91" s="5"/>
    </row>
    <row r="92" spans="1:9" ht="15" customHeight="1">
      <c r="A92" s="53">
        <v>78</v>
      </c>
      <c r="B92" s="3"/>
      <c r="C92" s="3"/>
      <c r="D92" s="3"/>
      <c r="E92" s="47" t="s">
        <v>20</v>
      </c>
      <c r="F92" s="4"/>
      <c r="G92" s="54" t="str">
        <f t="shared" si="5"/>
        <v/>
      </c>
      <c r="H92" s="54" t="str">
        <f t="shared" si="6"/>
        <v/>
      </c>
      <c r="I92" s="5"/>
    </row>
    <row r="93" spans="1:9" ht="15" customHeight="1">
      <c r="A93" s="53">
        <v>79</v>
      </c>
      <c r="B93" s="3"/>
      <c r="C93" s="3"/>
      <c r="D93" s="3"/>
      <c r="E93" s="47" t="s">
        <v>20</v>
      </c>
      <c r="F93" s="4"/>
      <c r="G93" s="54" t="str">
        <f t="shared" si="5"/>
        <v/>
      </c>
      <c r="H93" s="54" t="str">
        <f t="shared" si="6"/>
        <v/>
      </c>
      <c r="I93" s="5"/>
    </row>
    <row r="94" spans="1:9" ht="15" customHeight="1">
      <c r="A94" s="53">
        <v>80</v>
      </c>
      <c r="B94" s="3"/>
      <c r="C94" s="3"/>
      <c r="D94" s="3"/>
      <c r="E94" s="47" t="s">
        <v>20</v>
      </c>
      <c r="F94" s="4"/>
      <c r="G94" s="54" t="str">
        <f t="shared" si="5"/>
        <v/>
      </c>
      <c r="H94" s="54" t="str">
        <f t="shared" si="6"/>
        <v/>
      </c>
      <c r="I94" s="5"/>
    </row>
    <row r="95" spans="1:9" ht="15" customHeight="1">
      <c r="A95" s="53">
        <v>81</v>
      </c>
      <c r="B95" s="3"/>
      <c r="C95" s="3"/>
      <c r="D95" s="3"/>
      <c r="E95" s="47" t="s">
        <v>20</v>
      </c>
      <c r="F95" s="4"/>
      <c r="G95" s="54" t="str">
        <f t="shared" si="5"/>
        <v/>
      </c>
      <c r="H95" s="54" t="str">
        <f t="shared" si="6"/>
        <v/>
      </c>
      <c r="I95" s="5"/>
    </row>
    <row r="96" spans="1:9" ht="15" customHeight="1">
      <c r="A96" s="53">
        <v>82</v>
      </c>
      <c r="B96" s="3"/>
      <c r="C96" s="3"/>
      <c r="D96" s="3"/>
      <c r="E96" s="47" t="s">
        <v>20</v>
      </c>
      <c r="F96" s="4"/>
      <c r="G96" s="54" t="str">
        <f t="shared" si="5"/>
        <v/>
      </c>
      <c r="H96" s="54" t="str">
        <f t="shared" si="6"/>
        <v/>
      </c>
      <c r="I96" s="5"/>
    </row>
    <row r="97" spans="1:9" ht="15" customHeight="1">
      <c r="A97" s="53">
        <v>83</v>
      </c>
      <c r="B97" s="3"/>
      <c r="C97" s="3"/>
      <c r="D97" s="3"/>
      <c r="E97" s="47" t="s">
        <v>20</v>
      </c>
      <c r="F97" s="4"/>
      <c r="G97" s="54" t="str">
        <f t="shared" si="5"/>
        <v/>
      </c>
      <c r="H97" s="54" t="str">
        <f t="shared" si="6"/>
        <v/>
      </c>
      <c r="I97" s="5"/>
    </row>
    <row r="98" spans="1:9" ht="15" customHeight="1">
      <c r="A98" s="53">
        <v>84</v>
      </c>
      <c r="B98" s="3"/>
      <c r="C98" s="3"/>
      <c r="D98" s="3"/>
      <c r="E98" s="47" t="s">
        <v>20</v>
      </c>
      <c r="F98" s="4"/>
      <c r="G98" s="54" t="str">
        <f t="shared" si="5"/>
        <v/>
      </c>
      <c r="H98" s="54" t="str">
        <f t="shared" si="6"/>
        <v/>
      </c>
      <c r="I98" s="5"/>
    </row>
    <row r="99" spans="1:9" ht="15" customHeight="1">
      <c r="A99" s="53">
        <v>85</v>
      </c>
      <c r="B99" s="3"/>
      <c r="C99" s="3"/>
      <c r="D99" s="3"/>
      <c r="E99" s="47" t="s">
        <v>20</v>
      </c>
      <c r="F99" s="4"/>
      <c r="G99" s="54" t="str">
        <f t="shared" si="5"/>
        <v/>
      </c>
      <c r="H99" s="54" t="str">
        <f t="shared" si="6"/>
        <v/>
      </c>
      <c r="I99" s="5"/>
    </row>
    <row r="100" spans="1:9" ht="15" customHeight="1">
      <c r="A100" s="53">
        <v>86</v>
      </c>
      <c r="B100" s="3"/>
      <c r="C100" s="3"/>
      <c r="D100" s="3"/>
      <c r="E100" s="47" t="s">
        <v>20</v>
      </c>
      <c r="F100" s="4"/>
      <c r="G100" s="54" t="str">
        <f t="shared" si="5"/>
        <v/>
      </c>
      <c r="H100" s="54" t="str">
        <f t="shared" si="6"/>
        <v/>
      </c>
      <c r="I100" s="5"/>
    </row>
    <row r="101" spans="1:9" ht="15" customHeight="1">
      <c r="A101" s="53">
        <v>87</v>
      </c>
      <c r="B101" s="3"/>
      <c r="C101" s="3"/>
      <c r="D101" s="3"/>
      <c r="E101" s="47" t="s">
        <v>20</v>
      </c>
      <c r="F101" s="4"/>
      <c r="G101" s="54" t="str">
        <f t="shared" si="5"/>
        <v/>
      </c>
      <c r="H101" s="54" t="str">
        <f t="shared" si="6"/>
        <v/>
      </c>
      <c r="I101" s="5"/>
    </row>
    <row r="102" spans="1:9" ht="15" customHeight="1">
      <c r="A102" s="53">
        <v>88</v>
      </c>
      <c r="B102" s="3"/>
      <c r="C102" s="3"/>
      <c r="D102" s="3"/>
      <c r="E102" s="47" t="s">
        <v>20</v>
      </c>
      <c r="F102" s="4"/>
      <c r="G102" s="54" t="str">
        <f t="shared" si="5"/>
        <v/>
      </c>
      <c r="H102" s="54" t="str">
        <f t="shared" si="6"/>
        <v/>
      </c>
      <c r="I102" s="5"/>
    </row>
    <row r="103" spans="1:9" ht="15" customHeight="1">
      <c r="A103" s="53">
        <v>89</v>
      </c>
      <c r="B103" s="3"/>
      <c r="C103" s="3"/>
      <c r="D103" s="3"/>
      <c r="E103" s="47" t="s">
        <v>20</v>
      </c>
      <c r="F103" s="4"/>
      <c r="G103" s="54" t="str">
        <f t="shared" si="5"/>
        <v/>
      </c>
      <c r="H103" s="54" t="str">
        <f t="shared" si="6"/>
        <v/>
      </c>
      <c r="I103" s="5"/>
    </row>
    <row r="104" spans="1:9" ht="15" customHeight="1">
      <c r="A104" s="53">
        <v>90</v>
      </c>
      <c r="B104" s="3"/>
      <c r="C104" s="3"/>
      <c r="D104" s="3"/>
      <c r="E104" s="47" t="s">
        <v>20</v>
      </c>
      <c r="F104" s="4"/>
      <c r="G104" s="54" t="str">
        <f t="shared" si="5"/>
        <v/>
      </c>
      <c r="H104" s="54" t="str">
        <f t="shared" si="6"/>
        <v/>
      </c>
      <c r="I104" s="5"/>
    </row>
    <row r="105" spans="1:9" ht="15" customHeight="1">
      <c r="A105" s="53">
        <v>91</v>
      </c>
      <c r="B105" s="3"/>
      <c r="C105" s="3"/>
      <c r="D105" s="3"/>
      <c r="E105" s="47" t="s">
        <v>20</v>
      </c>
      <c r="F105" s="4"/>
      <c r="G105" s="54" t="str">
        <f t="shared" si="5"/>
        <v/>
      </c>
      <c r="H105" s="54" t="str">
        <f t="shared" si="6"/>
        <v/>
      </c>
      <c r="I105" s="5"/>
    </row>
    <row r="106" spans="1:9" ht="15" customHeight="1">
      <c r="A106" s="53">
        <v>92</v>
      </c>
      <c r="B106" s="3"/>
      <c r="C106" s="3"/>
      <c r="D106" s="3"/>
      <c r="E106" s="47" t="s">
        <v>20</v>
      </c>
      <c r="F106" s="4"/>
      <c r="G106" s="54" t="str">
        <f t="shared" si="5"/>
        <v/>
      </c>
      <c r="H106" s="54" t="str">
        <f t="shared" si="6"/>
        <v/>
      </c>
      <c r="I106" s="5"/>
    </row>
    <row r="107" spans="1:9" ht="15" customHeight="1">
      <c r="A107" s="53">
        <v>93</v>
      </c>
      <c r="B107" s="3"/>
      <c r="C107" s="3"/>
      <c r="D107" s="3"/>
      <c r="E107" s="47" t="s">
        <v>20</v>
      </c>
      <c r="F107" s="4"/>
      <c r="G107" s="54" t="str">
        <f t="shared" si="5"/>
        <v/>
      </c>
      <c r="H107" s="54" t="str">
        <f t="shared" si="6"/>
        <v/>
      </c>
      <c r="I107" s="5"/>
    </row>
    <row r="108" spans="1:9" ht="15" customHeight="1">
      <c r="A108" s="53">
        <v>94</v>
      </c>
      <c r="B108" s="3"/>
      <c r="C108" s="3"/>
      <c r="D108" s="3"/>
      <c r="E108" s="47" t="s">
        <v>20</v>
      </c>
      <c r="F108" s="4"/>
      <c r="G108" s="54" t="str">
        <f t="shared" si="5"/>
        <v/>
      </c>
      <c r="H108" s="54" t="str">
        <f t="shared" si="6"/>
        <v/>
      </c>
      <c r="I108" s="5"/>
    </row>
    <row r="109" spans="1:9" ht="15" customHeight="1">
      <c r="A109" s="53">
        <v>95</v>
      </c>
      <c r="B109" s="3"/>
      <c r="C109" s="3"/>
      <c r="D109" s="3"/>
      <c r="E109" s="47" t="s">
        <v>20</v>
      </c>
      <c r="F109" s="4"/>
      <c r="G109" s="54" t="str">
        <f t="shared" si="5"/>
        <v/>
      </c>
      <c r="H109" s="54" t="str">
        <f t="shared" si="6"/>
        <v/>
      </c>
      <c r="I109" s="5"/>
    </row>
    <row r="110" spans="1:9" ht="15" customHeight="1">
      <c r="A110" s="53">
        <v>96</v>
      </c>
      <c r="B110" s="3"/>
      <c r="C110" s="3"/>
      <c r="D110" s="3"/>
      <c r="E110" s="47" t="s">
        <v>20</v>
      </c>
      <c r="F110" s="4"/>
      <c r="G110" s="54" t="str">
        <f t="shared" si="5"/>
        <v/>
      </c>
      <c r="H110" s="54" t="str">
        <f t="shared" si="6"/>
        <v/>
      </c>
      <c r="I110" s="5"/>
    </row>
    <row r="111" spans="1:9" ht="15" customHeight="1">
      <c r="A111" s="53">
        <v>97</v>
      </c>
      <c r="B111" s="3"/>
      <c r="C111" s="3"/>
      <c r="D111" s="3"/>
      <c r="E111" s="47" t="s">
        <v>20</v>
      </c>
      <c r="F111" s="4"/>
      <c r="G111" s="54" t="str">
        <f t="shared" ref="G111:G142" si="7">IF(F111="","",F111*$C$11)</f>
        <v/>
      </c>
      <c r="H111" s="54" t="str">
        <f t="shared" ref="H111:H142" si="8">IF(D111="","",D111*G111)</f>
        <v/>
      </c>
      <c r="I111" s="5"/>
    </row>
    <row r="112" spans="1:9" ht="15" customHeight="1">
      <c r="A112" s="53">
        <v>98</v>
      </c>
      <c r="B112" s="3"/>
      <c r="C112" s="3"/>
      <c r="D112" s="3"/>
      <c r="E112" s="47" t="s">
        <v>20</v>
      </c>
      <c r="F112" s="4"/>
      <c r="G112" s="54" t="str">
        <f t="shared" si="7"/>
        <v/>
      </c>
      <c r="H112" s="54" t="str">
        <f t="shared" si="8"/>
        <v/>
      </c>
      <c r="I112" s="5"/>
    </row>
    <row r="113" spans="1:9" ht="15" customHeight="1">
      <c r="A113" s="53">
        <v>99</v>
      </c>
      <c r="B113" s="3"/>
      <c r="C113" s="3"/>
      <c r="D113" s="3"/>
      <c r="E113" s="47" t="s">
        <v>20</v>
      </c>
      <c r="F113" s="4"/>
      <c r="G113" s="54" t="str">
        <f t="shared" si="7"/>
        <v/>
      </c>
      <c r="H113" s="54" t="str">
        <f t="shared" si="8"/>
        <v/>
      </c>
      <c r="I113" s="5"/>
    </row>
    <row r="114" spans="1:9" ht="15" customHeight="1">
      <c r="A114" s="53">
        <v>100</v>
      </c>
      <c r="B114" s="3"/>
      <c r="C114" s="3"/>
      <c r="D114" s="3"/>
      <c r="E114" s="47" t="s">
        <v>20</v>
      </c>
      <c r="F114" s="4"/>
      <c r="G114" s="54" t="str">
        <f t="shared" si="7"/>
        <v/>
      </c>
      <c r="H114" s="54" t="str">
        <f t="shared" si="8"/>
        <v/>
      </c>
      <c r="I114" s="5"/>
    </row>
    <row r="115" spans="1:9" ht="15" customHeight="1">
      <c r="A115" s="53">
        <v>101</v>
      </c>
      <c r="B115" s="3"/>
      <c r="C115" s="3"/>
      <c r="D115" s="3"/>
      <c r="E115" s="47" t="s">
        <v>20</v>
      </c>
      <c r="F115" s="4"/>
      <c r="G115" s="54" t="str">
        <f t="shared" si="7"/>
        <v/>
      </c>
      <c r="H115" s="54" t="str">
        <f t="shared" si="8"/>
        <v/>
      </c>
      <c r="I115" s="5"/>
    </row>
    <row r="116" spans="1:9" ht="15" customHeight="1">
      <c r="A116" s="53">
        <v>102</v>
      </c>
      <c r="B116" s="3"/>
      <c r="C116" s="3"/>
      <c r="D116" s="3"/>
      <c r="E116" s="47" t="s">
        <v>20</v>
      </c>
      <c r="F116" s="4"/>
      <c r="G116" s="54" t="str">
        <f t="shared" si="7"/>
        <v/>
      </c>
      <c r="H116" s="54" t="str">
        <f t="shared" si="8"/>
        <v/>
      </c>
      <c r="I116" s="5"/>
    </row>
    <row r="117" spans="1:9" ht="15" customHeight="1">
      <c r="A117" s="53">
        <v>103</v>
      </c>
      <c r="B117" s="3"/>
      <c r="C117" s="3"/>
      <c r="D117" s="3"/>
      <c r="E117" s="47" t="s">
        <v>20</v>
      </c>
      <c r="F117" s="4"/>
      <c r="G117" s="54" t="str">
        <f t="shared" si="7"/>
        <v/>
      </c>
      <c r="H117" s="54" t="str">
        <f t="shared" si="8"/>
        <v/>
      </c>
      <c r="I117" s="5"/>
    </row>
    <row r="118" spans="1:9" ht="15" customHeight="1">
      <c r="A118" s="53">
        <v>104</v>
      </c>
      <c r="B118" s="3"/>
      <c r="C118" s="3"/>
      <c r="D118" s="3"/>
      <c r="E118" s="47" t="s">
        <v>20</v>
      </c>
      <c r="F118" s="4"/>
      <c r="G118" s="54" t="str">
        <f t="shared" si="7"/>
        <v/>
      </c>
      <c r="H118" s="54" t="str">
        <f t="shared" si="8"/>
        <v/>
      </c>
      <c r="I118" s="5"/>
    </row>
    <row r="119" spans="1:9" ht="15" customHeight="1">
      <c r="A119" s="53">
        <v>105</v>
      </c>
      <c r="B119" s="3"/>
      <c r="C119" s="3"/>
      <c r="D119" s="3"/>
      <c r="E119" s="47" t="s">
        <v>20</v>
      </c>
      <c r="F119" s="4"/>
      <c r="G119" s="54" t="str">
        <f t="shared" si="7"/>
        <v/>
      </c>
      <c r="H119" s="54" t="str">
        <f t="shared" si="8"/>
        <v/>
      </c>
      <c r="I119" s="5"/>
    </row>
    <row r="120" spans="1:9" ht="15" customHeight="1">
      <c r="A120" s="53">
        <v>106</v>
      </c>
      <c r="B120" s="3"/>
      <c r="C120" s="3"/>
      <c r="D120" s="3"/>
      <c r="E120" s="47" t="s">
        <v>20</v>
      </c>
      <c r="F120" s="4"/>
      <c r="G120" s="54" t="str">
        <f t="shared" si="7"/>
        <v/>
      </c>
      <c r="H120" s="54" t="str">
        <f t="shared" si="8"/>
        <v/>
      </c>
      <c r="I120" s="5"/>
    </row>
    <row r="121" spans="1:9" ht="15" customHeight="1">
      <c r="A121" s="53">
        <v>107</v>
      </c>
      <c r="B121" s="3"/>
      <c r="C121" s="3"/>
      <c r="D121" s="3"/>
      <c r="E121" s="47" t="s">
        <v>20</v>
      </c>
      <c r="F121" s="4"/>
      <c r="G121" s="54" t="str">
        <f t="shared" si="7"/>
        <v/>
      </c>
      <c r="H121" s="54" t="str">
        <f t="shared" si="8"/>
        <v/>
      </c>
      <c r="I121" s="5"/>
    </row>
    <row r="122" spans="1:9" ht="15" customHeight="1">
      <c r="A122" s="53">
        <v>108</v>
      </c>
      <c r="B122" s="3"/>
      <c r="C122" s="3"/>
      <c r="D122" s="3"/>
      <c r="E122" s="47" t="s">
        <v>20</v>
      </c>
      <c r="F122" s="4"/>
      <c r="G122" s="54" t="str">
        <f t="shared" si="7"/>
        <v/>
      </c>
      <c r="H122" s="54" t="str">
        <f t="shared" si="8"/>
        <v/>
      </c>
      <c r="I122" s="5"/>
    </row>
    <row r="123" spans="1:9" ht="15" customHeight="1">
      <c r="A123" s="53">
        <v>109</v>
      </c>
      <c r="B123" s="3"/>
      <c r="C123" s="3"/>
      <c r="D123" s="3"/>
      <c r="E123" s="47" t="s">
        <v>20</v>
      </c>
      <c r="F123" s="4"/>
      <c r="G123" s="54" t="str">
        <f t="shared" si="7"/>
        <v/>
      </c>
      <c r="H123" s="54" t="str">
        <f t="shared" si="8"/>
        <v/>
      </c>
      <c r="I123" s="5"/>
    </row>
    <row r="124" spans="1:9" ht="15" customHeight="1">
      <c r="A124" s="53">
        <v>110</v>
      </c>
      <c r="B124" s="3"/>
      <c r="C124" s="3"/>
      <c r="D124" s="3"/>
      <c r="E124" s="47" t="s">
        <v>20</v>
      </c>
      <c r="F124" s="4"/>
      <c r="G124" s="54" t="str">
        <f t="shared" si="7"/>
        <v/>
      </c>
      <c r="H124" s="54" t="str">
        <f t="shared" si="8"/>
        <v/>
      </c>
      <c r="I124" s="5"/>
    </row>
    <row r="125" spans="1:9" ht="15" customHeight="1">
      <c r="A125" s="53">
        <v>111</v>
      </c>
      <c r="B125" s="3"/>
      <c r="C125" s="3"/>
      <c r="D125" s="3"/>
      <c r="E125" s="47" t="s">
        <v>20</v>
      </c>
      <c r="F125" s="4"/>
      <c r="G125" s="54" t="str">
        <f t="shared" si="7"/>
        <v/>
      </c>
      <c r="H125" s="54" t="str">
        <f t="shared" si="8"/>
        <v/>
      </c>
      <c r="I125" s="5"/>
    </row>
    <row r="126" spans="1:9" ht="15" customHeight="1">
      <c r="A126" s="53">
        <v>112</v>
      </c>
      <c r="B126" s="3"/>
      <c r="C126" s="3"/>
      <c r="D126" s="3"/>
      <c r="E126" s="47" t="s">
        <v>20</v>
      </c>
      <c r="F126" s="4"/>
      <c r="G126" s="54" t="str">
        <f t="shared" si="7"/>
        <v/>
      </c>
      <c r="H126" s="54" t="str">
        <f t="shared" si="8"/>
        <v/>
      </c>
      <c r="I126" s="5"/>
    </row>
    <row r="127" spans="1:9" ht="15" customHeight="1">
      <c r="A127" s="53">
        <v>113</v>
      </c>
      <c r="B127" s="3"/>
      <c r="C127" s="3"/>
      <c r="D127" s="3"/>
      <c r="E127" s="47" t="s">
        <v>20</v>
      </c>
      <c r="F127" s="4"/>
      <c r="G127" s="54" t="str">
        <f t="shared" si="7"/>
        <v/>
      </c>
      <c r="H127" s="54" t="str">
        <f t="shared" si="8"/>
        <v/>
      </c>
      <c r="I127" s="5"/>
    </row>
    <row r="128" spans="1:9" ht="15" customHeight="1">
      <c r="A128" s="53">
        <v>114</v>
      </c>
      <c r="B128" s="3"/>
      <c r="C128" s="3"/>
      <c r="D128" s="3"/>
      <c r="E128" s="47" t="s">
        <v>20</v>
      </c>
      <c r="F128" s="4"/>
      <c r="G128" s="54" t="str">
        <f t="shared" si="7"/>
        <v/>
      </c>
      <c r="H128" s="54" t="str">
        <f t="shared" si="8"/>
        <v/>
      </c>
      <c r="I128" s="5"/>
    </row>
    <row r="129" spans="1:9" ht="15" customHeight="1">
      <c r="A129" s="53">
        <v>115</v>
      </c>
      <c r="B129" s="3"/>
      <c r="C129" s="3"/>
      <c r="D129" s="3"/>
      <c r="E129" s="47" t="s">
        <v>20</v>
      </c>
      <c r="F129" s="4"/>
      <c r="G129" s="54" t="str">
        <f t="shared" si="7"/>
        <v/>
      </c>
      <c r="H129" s="54" t="str">
        <f t="shared" si="8"/>
        <v/>
      </c>
      <c r="I129" s="5"/>
    </row>
    <row r="130" spans="1:9" ht="15" customHeight="1">
      <c r="A130" s="53">
        <v>116</v>
      </c>
      <c r="B130" s="3"/>
      <c r="C130" s="3"/>
      <c r="D130" s="3"/>
      <c r="E130" s="47" t="s">
        <v>20</v>
      </c>
      <c r="F130" s="4"/>
      <c r="G130" s="54" t="str">
        <f t="shared" si="7"/>
        <v/>
      </c>
      <c r="H130" s="54" t="str">
        <f t="shared" si="8"/>
        <v/>
      </c>
      <c r="I130" s="5"/>
    </row>
    <row r="131" spans="1:9" ht="15" customHeight="1">
      <c r="A131" s="53">
        <v>117</v>
      </c>
      <c r="B131" s="3"/>
      <c r="C131" s="3"/>
      <c r="D131" s="3"/>
      <c r="E131" s="47" t="s">
        <v>20</v>
      </c>
      <c r="F131" s="4"/>
      <c r="G131" s="54" t="str">
        <f t="shared" si="7"/>
        <v/>
      </c>
      <c r="H131" s="54" t="str">
        <f t="shared" si="8"/>
        <v/>
      </c>
      <c r="I131" s="5"/>
    </row>
    <row r="132" spans="1:9" ht="15" customHeight="1">
      <c r="A132" s="53">
        <v>118</v>
      </c>
      <c r="B132" s="3"/>
      <c r="C132" s="3"/>
      <c r="D132" s="3"/>
      <c r="E132" s="47" t="s">
        <v>20</v>
      </c>
      <c r="F132" s="4"/>
      <c r="G132" s="54" t="str">
        <f t="shared" si="7"/>
        <v/>
      </c>
      <c r="H132" s="54" t="str">
        <f t="shared" si="8"/>
        <v/>
      </c>
      <c r="I132" s="5"/>
    </row>
    <row r="133" spans="1:9" ht="15" customHeight="1">
      <c r="A133" s="53">
        <v>119</v>
      </c>
      <c r="B133" s="3"/>
      <c r="C133" s="3"/>
      <c r="D133" s="3"/>
      <c r="E133" s="47" t="s">
        <v>20</v>
      </c>
      <c r="F133" s="4"/>
      <c r="G133" s="54" t="str">
        <f t="shared" si="7"/>
        <v/>
      </c>
      <c r="H133" s="54" t="str">
        <f t="shared" si="8"/>
        <v/>
      </c>
      <c r="I133" s="5"/>
    </row>
    <row r="134" spans="1:9" ht="15" customHeight="1">
      <c r="A134" s="53">
        <v>120</v>
      </c>
      <c r="B134" s="3"/>
      <c r="C134" s="7"/>
      <c r="D134" s="3"/>
      <c r="E134" s="47" t="s">
        <v>20</v>
      </c>
      <c r="F134" s="4"/>
      <c r="G134" s="54" t="str">
        <f t="shared" si="7"/>
        <v/>
      </c>
      <c r="H134" s="54" t="str">
        <f t="shared" si="8"/>
        <v/>
      </c>
      <c r="I134" s="5"/>
    </row>
    <row r="135" spans="1:9" ht="15" customHeight="1">
      <c r="A135" s="5"/>
      <c r="B135" s="45" t="s">
        <v>21</v>
      </c>
      <c r="C135" s="5"/>
      <c r="D135" s="56">
        <f>SUM(D15:D134)</f>
        <v>1500</v>
      </c>
      <c r="E135" s="5"/>
      <c r="F135" s="5"/>
      <c r="G135" s="5"/>
      <c r="H135" s="57">
        <f>SUM(H15:H134)</f>
        <v>15000000</v>
      </c>
      <c r="I135" s="5"/>
    </row>
  </sheetData>
  <mergeCells count="9">
    <mergeCell ref="A1:I1"/>
    <mergeCell ref="A9:B9"/>
    <mergeCell ref="A6:B6"/>
    <mergeCell ref="C6:H6"/>
    <mergeCell ref="C5:H5"/>
    <mergeCell ref="A11:B11"/>
    <mergeCell ref="A2:H2"/>
    <mergeCell ref="A10:B10"/>
    <mergeCell ref="A5:B5"/>
  </mergeCells>
  <phoneticPr fontId="38"/>
  <pageMargins left="0.75" right="0.75" top="1" bottom="1" header="0.511811023622047" footer="0.511811023622047"/>
  <pageSetup paperSize="9" scale="33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S29"/>
  <sheetViews>
    <sheetView view="pageBreakPreview" zoomScaleNormal="115" workbookViewId="0">
      <selection sqref="A1:I1"/>
    </sheetView>
  </sheetViews>
  <sheetFormatPr defaultColWidth="9.33203125" defaultRowHeight="17.25"/>
  <cols>
    <col min="1" max="1" width="2.33203125" style="8" customWidth="1"/>
    <col min="2" max="2" width="7.83203125" style="8" customWidth="1"/>
    <col min="3" max="3" width="12.5" style="8" customWidth="1"/>
    <col min="4" max="4" width="16.6640625" style="8" customWidth="1"/>
    <col min="5" max="8" width="9.33203125" style="8" customWidth="1"/>
    <col min="9" max="9" width="4.1640625" style="8" customWidth="1"/>
    <col min="10" max="10" width="7.6640625" style="8" customWidth="1"/>
    <col min="11" max="11" width="9.33203125" style="8" customWidth="1"/>
    <col min="12" max="12" width="7.83203125" style="8" customWidth="1"/>
    <col min="13" max="13" width="7" style="8" customWidth="1"/>
    <col min="14" max="14" width="6.5" style="8" customWidth="1"/>
    <col min="15" max="15" width="9.33203125" style="8" customWidth="1"/>
    <col min="16" max="16" width="12.83203125" style="8" customWidth="1"/>
    <col min="17" max="17" width="6.5" style="8" customWidth="1"/>
    <col min="18" max="18" width="10" style="8" customWidth="1"/>
    <col min="19" max="19" width="8.33203125" style="8" customWidth="1"/>
    <col min="20" max="256" width="9.33203125" style="8" customWidth="1"/>
    <col min="257" max="257" width="2.33203125" style="8" customWidth="1"/>
    <col min="258" max="258" width="7.83203125" style="8" customWidth="1"/>
    <col min="259" max="259" width="12.5" style="8" customWidth="1"/>
    <col min="260" max="260" width="16.6640625" style="8" customWidth="1"/>
    <col min="261" max="264" width="9.33203125" style="8" customWidth="1"/>
    <col min="265" max="265" width="4.1640625" style="8" customWidth="1"/>
    <col min="266" max="266" width="7.6640625" style="8" customWidth="1"/>
    <col min="267" max="267" width="9.33203125" style="8" customWidth="1"/>
    <col min="268" max="268" width="7.83203125" style="8" customWidth="1"/>
    <col min="269" max="269" width="7" style="8" customWidth="1"/>
    <col min="270" max="270" width="6.5" style="8" customWidth="1"/>
    <col min="271" max="271" width="9.33203125" style="8" customWidth="1"/>
    <col min="272" max="272" width="12.83203125" style="8" customWidth="1"/>
    <col min="273" max="273" width="6.5" style="8" customWidth="1"/>
    <col min="274" max="274" width="10" style="8" customWidth="1"/>
    <col min="275" max="275" width="8.33203125" style="8" customWidth="1"/>
    <col min="276" max="512" width="9.33203125" style="8" customWidth="1"/>
    <col min="513" max="513" width="2.33203125" style="8" customWidth="1"/>
    <col min="514" max="514" width="7.83203125" style="8" customWidth="1"/>
    <col min="515" max="515" width="12.5" style="8" customWidth="1"/>
    <col min="516" max="516" width="16.6640625" style="8" customWidth="1"/>
    <col min="517" max="520" width="9.33203125" style="8" customWidth="1"/>
    <col min="521" max="521" width="4.1640625" style="8" customWidth="1"/>
    <col min="522" max="522" width="7.6640625" style="8" customWidth="1"/>
    <col min="523" max="523" width="9.33203125" style="8" customWidth="1"/>
    <col min="524" max="524" width="7.83203125" style="8" customWidth="1"/>
    <col min="525" max="525" width="7" style="8" customWidth="1"/>
    <col min="526" max="526" width="6.5" style="8" customWidth="1"/>
    <col min="527" max="527" width="9.33203125" style="8" customWidth="1"/>
    <col min="528" max="528" width="12.83203125" style="8" customWidth="1"/>
    <col min="529" max="529" width="6.5" style="8" customWidth="1"/>
    <col min="530" max="530" width="10" style="8" customWidth="1"/>
    <col min="531" max="531" width="8.33203125" style="8" customWidth="1"/>
    <col min="532" max="768" width="9.33203125" style="8" customWidth="1"/>
    <col min="769" max="769" width="2.33203125" style="8" customWidth="1"/>
    <col min="770" max="770" width="7.83203125" style="8" customWidth="1"/>
    <col min="771" max="771" width="12.5" style="8" customWidth="1"/>
    <col min="772" max="772" width="16.6640625" style="8" customWidth="1"/>
    <col min="773" max="776" width="9.33203125" style="8" customWidth="1"/>
    <col min="777" max="777" width="4.1640625" style="8" customWidth="1"/>
    <col min="778" max="778" width="7.6640625" style="8" customWidth="1"/>
    <col min="779" max="779" width="9.33203125" style="8" customWidth="1"/>
    <col min="780" max="780" width="7.83203125" style="8" customWidth="1"/>
    <col min="781" max="781" width="7" style="8" customWidth="1"/>
    <col min="782" max="782" width="6.5" style="8" customWidth="1"/>
    <col min="783" max="783" width="9.33203125" style="8" customWidth="1"/>
    <col min="784" max="784" width="12.83203125" style="8" customWidth="1"/>
    <col min="785" max="785" width="6.5" style="8" customWidth="1"/>
    <col min="786" max="786" width="10" style="8" customWidth="1"/>
    <col min="787" max="787" width="8.33203125" style="8" customWidth="1"/>
    <col min="788" max="1024" width="9.33203125" style="8" customWidth="1"/>
    <col min="1025" max="1025" width="2.33203125" style="8" customWidth="1"/>
    <col min="1026" max="1026" width="7.83203125" style="8" customWidth="1"/>
    <col min="1027" max="1027" width="12.5" style="8" customWidth="1"/>
    <col min="1028" max="1028" width="16.6640625" style="8" customWidth="1"/>
    <col min="1029" max="1032" width="9.33203125" style="8" customWidth="1"/>
    <col min="1033" max="1033" width="4.1640625" style="8" customWidth="1"/>
    <col min="1034" max="1034" width="7.6640625" style="8" customWidth="1"/>
    <col min="1035" max="1035" width="9.33203125" style="8" customWidth="1"/>
    <col min="1036" max="1036" width="7.83203125" style="8" customWidth="1"/>
    <col min="1037" max="1037" width="7" style="8" customWidth="1"/>
    <col min="1038" max="1038" width="6.5" style="8" customWidth="1"/>
    <col min="1039" max="1039" width="9.33203125" style="8" customWidth="1"/>
    <col min="1040" max="1040" width="12.83203125" style="8" customWidth="1"/>
    <col min="1041" max="1041" width="6.5" style="8" customWidth="1"/>
    <col min="1042" max="1042" width="10" style="8" customWidth="1"/>
    <col min="1043" max="1043" width="8.33203125" style="8" customWidth="1"/>
    <col min="1044" max="1280" width="9.33203125" style="8" customWidth="1"/>
    <col min="1281" max="1281" width="2.33203125" style="8" customWidth="1"/>
    <col min="1282" max="1282" width="7.83203125" style="8" customWidth="1"/>
    <col min="1283" max="1283" width="12.5" style="8" customWidth="1"/>
    <col min="1284" max="1284" width="16.6640625" style="8" customWidth="1"/>
    <col min="1285" max="1288" width="9.33203125" style="8" customWidth="1"/>
    <col min="1289" max="1289" width="4.1640625" style="8" customWidth="1"/>
    <col min="1290" max="1290" width="7.6640625" style="8" customWidth="1"/>
    <col min="1291" max="1291" width="9.33203125" style="8" customWidth="1"/>
    <col min="1292" max="1292" width="7.83203125" style="8" customWidth="1"/>
    <col min="1293" max="1293" width="7" style="8" customWidth="1"/>
    <col min="1294" max="1294" width="6.5" style="8" customWidth="1"/>
    <col min="1295" max="1295" width="9.33203125" style="8" customWidth="1"/>
    <col min="1296" max="1296" width="12.83203125" style="8" customWidth="1"/>
    <col min="1297" max="1297" width="6.5" style="8" customWidth="1"/>
    <col min="1298" max="1298" width="10" style="8" customWidth="1"/>
    <col min="1299" max="1299" width="8.33203125" style="8" customWidth="1"/>
    <col min="1300" max="1536" width="9.33203125" style="8" customWidth="1"/>
    <col min="1537" max="1537" width="2.33203125" style="8" customWidth="1"/>
    <col min="1538" max="1538" width="7.83203125" style="8" customWidth="1"/>
    <col min="1539" max="1539" width="12.5" style="8" customWidth="1"/>
    <col min="1540" max="1540" width="16.6640625" style="8" customWidth="1"/>
    <col min="1541" max="1544" width="9.33203125" style="8" customWidth="1"/>
    <col min="1545" max="1545" width="4.1640625" style="8" customWidth="1"/>
    <col min="1546" max="1546" width="7.6640625" style="8" customWidth="1"/>
    <col min="1547" max="1547" width="9.33203125" style="8" customWidth="1"/>
    <col min="1548" max="1548" width="7.83203125" style="8" customWidth="1"/>
    <col min="1549" max="1549" width="7" style="8" customWidth="1"/>
    <col min="1550" max="1550" width="6.5" style="8" customWidth="1"/>
    <col min="1551" max="1551" width="9.33203125" style="8" customWidth="1"/>
    <col min="1552" max="1552" width="12.83203125" style="8" customWidth="1"/>
    <col min="1553" max="1553" width="6.5" style="8" customWidth="1"/>
    <col min="1554" max="1554" width="10" style="8" customWidth="1"/>
    <col min="1555" max="1555" width="8.33203125" style="8" customWidth="1"/>
    <col min="1556" max="1792" width="9.33203125" style="8" customWidth="1"/>
    <col min="1793" max="1793" width="2.33203125" style="8" customWidth="1"/>
    <col min="1794" max="1794" width="7.83203125" style="8" customWidth="1"/>
    <col min="1795" max="1795" width="12.5" style="8" customWidth="1"/>
    <col min="1796" max="1796" width="16.6640625" style="8" customWidth="1"/>
    <col min="1797" max="1800" width="9.33203125" style="8" customWidth="1"/>
    <col min="1801" max="1801" width="4.1640625" style="8" customWidth="1"/>
    <col min="1802" max="1802" width="7.6640625" style="8" customWidth="1"/>
    <col min="1803" max="1803" width="9.33203125" style="8" customWidth="1"/>
    <col min="1804" max="1804" width="7.83203125" style="8" customWidth="1"/>
    <col min="1805" max="1805" width="7" style="8" customWidth="1"/>
    <col min="1806" max="1806" width="6.5" style="8" customWidth="1"/>
    <col min="1807" max="1807" width="9.33203125" style="8" customWidth="1"/>
    <col min="1808" max="1808" width="12.83203125" style="8" customWidth="1"/>
    <col min="1809" max="1809" width="6.5" style="8" customWidth="1"/>
    <col min="1810" max="1810" width="10" style="8" customWidth="1"/>
    <col min="1811" max="1811" width="8.33203125" style="8" customWidth="1"/>
    <col min="1812" max="2048" width="9.33203125" style="8" customWidth="1"/>
    <col min="2049" max="2049" width="2.33203125" style="8" customWidth="1"/>
    <col min="2050" max="2050" width="7.83203125" style="8" customWidth="1"/>
    <col min="2051" max="2051" width="12.5" style="8" customWidth="1"/>
    <col min="2052" max="2052" width="16.6640625" style="8" customWidth="1"/>
    <col min="2053" max="2056" width="9.33203125" style="8" customWidth="1"/>
    <col min="2057" max="2057" width="4.1640625" style="8" customWidth="1"/>
    <col min="2058" max="2058" width="7.6640625" style="8" customWidth="1"/>
    <col min="2059" max="2059" width="9.33203125" style="8" customWidth="1"/>
    <col min="2060" max="2060" width="7.83203125" style="8" customWidth="1"/>
    <col min="2061" max="2061" width="7" style="8" customWidth="1"/>
    <col min="2062" max="2062" width="6.5" style="8" customWidth="1"/>
    <col min="2063" max="2063" width="9.33203125" style="8" customWidth="1"/>
    <col min="2064" max="2064" width="12.83203125" style="8" customWidth="1"/>
    <col min="2065" max="2065" width="6.5" style="8" customWidth="1"/>
    <col min="2066" max="2066" width="10" style="8" customWidth="1"/>
    <col min="2067" max="2067" width="8.33203125" style="8" customWidth="1"/>
    <col min="2068" max="2304" width="9.33203125" style="8" customWidth="1"/>
    <col min="2305" max="2305" width="2.33203125" style="8" customWidth="1"/>
    <col min="2306" max="2306" width="7.83203125" style="8" customWidth="1"/>
    <col min="2307" max="2307" width="12.5" style="8" customWidth="1"/>
    <col min="2308" max="2308" width="16.6640625" style="8" customWidth="1"/>
    <col min="2309" max="2312" width="9.33203125" style="8" customWidth="1"/>
    <col min="2313" max="2313" width="4.1640625" style="8" customWidth="1"/>
    <col min="2314" max="2314" width="7.6640625" style="8" customWidth="1"/>
    <col min="2315" max="2315" width="9.33203125" style="8" customWidth="1"/>
    <col min="2316" max="2316" width="7.83203125" style="8" customWidth="1"/>
    <col min="2317" max="2317" width="7" style="8" customWidth="1"/>
    <col min="2318" max="2318" width="6.5" style="8" customWidth="1"/>
    <col min="2319" max="2319" width="9.33203125" style="8" customWidth="1"/>
    <col min="2320" max="2320" width="12.83203125" style="8" customWidth="1"/>
    <col min="2321" max="2321" width="6.5" style="8" customWidth="1"/>
    <col min="2322" max="2322" width="10" style="8" customWidth="1"/>
    <col min="2323" max="2323" width="8.33203125" style="8" customWidth="1"/>
    <col min="2324" max="2560" width="9.33203125" style="8" customWidth="1"/>
    <col min="2561" max="2561" width="2.33203125" style="8" customWidth="1"/>
    <col min="2562" max="2562" width="7.83203125" style="8" customWidth="1"/>
    <col min="2563" max="2563" width="12.5" style="8" customWidth="1"/>
    <col min="2564" max="2564" width="16.6640625" style="8" customWidth="1"/>
    <col min="2565" max="2568" width="9.33203125" style="8" customWidth="1"/>
    <col min="2569" max="2569" width="4.1640625" style="8" customWidth="1"/>
    <col min="2570" max="2570" width="7.6640625" style="8" customWidth="1"/>
    <col min="2571" max="2571" width="9.33203125" style="8" customWidth="1"/>
    <col min="2572" max="2572" width="7.83203125" style="8" customWidth="1"/>
    <col min="2573" max="2573" width="7" style="8" customWidth="1"/>
    <col min="2574" max="2574" width="6.5" style="8" customWidth="1"/>
    <col min="2575" max="2575" width="9.33203125" style="8" customWidth="1"/>
    <col min="2576" max="2576" width="12.83203125" style="8" customWidth="1"/>
    <col min="2577" max="2577" width="6.5" style="8" customWidth="1"/>
    <col min="2578" max="2578" width="10" style="8" customWidth="1"/>
    <col min="2579" max="2579" width="8.33203125" style="8" customWidth="1"/>
    <col min="2580" max="2816" width="9.33203125" style="8" customWidth="1"/>
    <col min="2817" max="2817" width="2.33203125" style="8" customWidth="1"/>
    <col min="2818" max="2818" width="7.83203125" style="8" customWidth="1"/>
    <col min="2819" max="2819" width="12.5" style="8" customWidth="1"/>
    <col min="2820" max="2820" width="16.6640625" style="8" customWidth="1"/>
    <col min="2821" max="2824" width="9.33203125" style="8" customWidth="1"/>
    <col min="2825" max="2825" width="4.1640625" style="8" customWidth="1"/>
    <col min="2826" max="2826" width="7.6640625" style="8" customWidth="1"/>
    <col min="2827" max="2827" width="9.33203125" style="8" customWidth="1"/>
    <col min="2828" max="2828" width="7.83203125" style="8" customWidth="1"/>
    <col min="2829" max="2829" width="7" style="8" customWidth="1"/>
    <col min="2830" max="2830" width="6.5" style="8" customWidth="1"/>
    <col min="2831" max="2831" width="9.33203125" style="8" customWidth="1"/>
    <col min="2832" max="2832" width="12.83203125" style="8" customWidth="1"/>
    <col min="2833" max="2833" width="6.5" style="8" customWidth="1"/>
    <col min="2834" max="2834" width="10" style="8" customWidth="1"/>
    <col min="2835" max="2835" width="8.33203125" style="8" customWidth="1"/>
    <col min="2836" max="3072" width="9.33203125" style="8" customWidth="1"/>
    <col min="3073" max="3073" width="2.33203125" style="8" customWidth="1"/>
    <col min="3074" max="3074" width="7.83203125" style="8" customWidth="1"/>
    <col min="3075" max="3075" width="12.5" style="8" customWidth="1"/>
    <col min="3076" max="3076" width="16.6640625" style="8" customWidth="1"/>
    <col min="3077" max="3080" width="9.33203125" style="8" customWidth="1"/>
    <col min="3081" max="3081" width="4.1640625" style="8" customWidth="1"/>
    <col min="3082" max="3082" width="7.6640625" style="8" customWidth="1"/>
    <col min="3083" max="3083" width="9.33203125" style="8" customWidth="1"/>
    <col min="3084" max="3084" width="7.83203125" style="8" customWidth="1"/>
    <col min="3085" max="3085" width="7" style="8" customWidth="1"/>
    <col min="3086" max="3086" width="6.5" style="8" customWidth="1"/>
    <col min="3087" max="3087" width="9.33203125" style="8" customWidth="1"/>
    <col min="3088" max="3088" width="12.83203125" style="8" customWidth="1"/>
    <col min="3089" max="3089" width="6.5" style="8" customWidth="1"/>
    <col min="3090" max="3090" width="10" style="8" customWidth="1"/>
    <col min="3091" max="3091" width="8.33203125" style="8" customWidth="1"/>
    <col min="3092" max="3328" width="9.33203125" style="8" customWidth="1"/>
    <col min="3329" max="3329" width="2.33203125" style="8" customWidth="1"/>
    <col min="3330" max="3330" width="7.83203125" style="8" customWidth="1"/>
    <col min="3331" max="3331" width="12.5" style="8" customWidth="1"/>
    <col min="3332" max="3332" width="16.6640625" style="8" customWidth="1"/>
    <col min="3333" max="3336" width="9.33203125" style="8" customWidth="1"/>
    <col min="3337" max="3337" width="4.1640625" style="8" customWidth="1"/>
    <col min="3338" max="3338" width="7.6640625" style="8" customWidth="1"/>
    <col min="3339" max="3339" width="9.33203125" style="8" customWidth="1"/>
    <col min="3340" max="3340" width="7.83203125" style="8" customWidth="1"/>
    <col min="3341" max="3341" width="7" style="8" customWidth="1"/>
    <col min="3342" max="3342" width="6.5" style="8" customWidth="1"/>
    <col min="3343" max="3343" width="9.33203125" style="8" customWidth="1"/>
    <col min="3344" max="3344" width="12.83203125" style="8" customWidth="1"/>
    <col min="3345" max="3345" width="6.5" style="8" customWidth="1"/>
    <col min="3346" max="3346" width="10" style="8" customWidth="1"/>
    <col min="3347" max="3347" width="8.33203125" style="8" customWidth="1"/>
    <col min="3348" max="3584" width="9.33203125" style="8" customWidth="1"/>
    <col min="3585" max="3585" width="2.33203125" style="8" customWidth="1"/>
    <col min="3586" max="3586" width="7.83203125" style="8" customWidth="1"/>
    <col min="3587" max="3587" width="12.5" style="8" customWidth="1"/>
    <col min="3588" max="3588" width="16.6640625" style="8" customWidth="1"/>
    <col min="3589" max="3592" width="9.33203125" style="8" customWidth="1"/>
    <col min="3593" max="3593" width="4.1640625" style="8" customWidth="1"/>
    <col min="3594" max="3594" width="7.6640625" style="8" customWidth="1"/>
    <col min="3595" max="3595" width="9.33203125" style="8" customWidth="1"/>
    <col min="3596" max="3596" width="7.83203125" style="8" customWidth="1"/>
    <col min="3597" max="3597" width="7" style="8" customWidth="1"/>
    <col min="3598" max="3598" width="6.5" style="8" customWidth="1"/>
    <col min="3599" max="3599" width="9.33203125" style="8" customWidth="1"/>
    <col min="3600" max="3600" width="12.83203125" style="8" customWidth="1"/>
    <col min="3601" max="3601" width="6.5" style="8" customWidth="1"/>
    <col min="3602" max="3602" width="10" style="8" customWidth="1"/>
    <col min="3603" max="3603" width="8.33203125" style="8" customWidth="1"/>
    <col min="3604" max="3840" width="9.33203125" style="8" customWidth="1"/>
    <col min="3841" max="3841" width="2.33203125" style="8" customWidth="1"/>
    <col min="3842" max="3842" width="7.83203125" style="8" customWidth="1"/>
    <col min="3843" max="3843" width="12.5" style="8" customWidth="1"/>
    <col min="3844" max="3844" width="16.6640625" style="8" customWidth="1"/>
    <col min="3845" max="3848" width="9.33203125" style="8" customWidth="1"/>
    <col min="3849" max="3849" width="4.1640625" style="8" customWidth="1"/>
    <col min="3850" max="3850" width="7.6640625" style="8" customWidth="1"/>
    <col min="3851" max="3851" width="9.33203125" style="8" customWidth="1"/>
    <col min="3852" max="3852" width="7.83203125" style="8" customWidth="1"/>
    <col min="3853" max="3853" width="7" style="8" customWidth="1"/>
    <col min="3854" max="3854" width="6.5" style="8" customWidth="1"/>
    <col min="3855" max="3855" width="9.33203125" style="8" customWidth="1"/>
    <col min="3856" max="3856" width="12.83203125" style="8" customWidth="1"/>
    <col min="3857" max="3857" width="6.5" style="8" customWidth="1"/>
    <col min="3858" max="3858" width="10" style="8" customWidth="1"/>
    <col min="3859" max="3859" width="8.33203125" style="8" customWidth="1"/>
    <col min="3860" max="4096" width="9.33203125" style="8" customWidth="1"/>
    <col min="4097" max="4097" width="2.33203125" style="8" customWidth="1"/>
    <col min="4098" max="4098" width="7.83203125" style="8" customWidth="1"/>
    <col min="4099" max="4099" width="12.5" style="8" customWidth="1"/>
    <col min="4100" max="4100" width="16.6640625" style="8" customWidth="1"/>
    <col min="4101" max="4104" width="9.33203125" style="8" customWidth="1"/>
    <col min="4105" max="4105" width="4.1640625" style="8" customWidth="1"/>
    <col min="4106" max="4106" width="7.6640625" style="8" customWidth="1"/>
    <col min="4107" max="4107" width="9.33203125" style="8" customWidth="1"/>
    <col min="4108" max="4108" width="7.83203125" style="8" customWidth="1"/>
    <col min="4109" max="4109" width="7" style="8" customWidth="1"/>
    <col min="4110" max="4110" width="6.5" style="8" customWidth="1"/>
    <col min="4111" max="4111" width="9.33203125" style="8" customWidth="1"/>
    <col min="4112" max="4112" width="12.83203125" style="8" customWidth="1"/>
    <col min="4113" max="4113" width="6.5" style="8" customWidth="1"/>
    <col min="4114" max="4114" width="10" style="8" customWidth="1"/>
    <col min="4115" max="4115" width="8.33203125" style="8" customWidth="1"/>
    <col min="4116" max="4352" width="9.33203125" style="8" customWidth="1"/>
    <col min="4353" max="4353" width="2.33203125" style="8" customWidth="1"/>
    <col min="4354" max="4354" width="7.83203125" style="8" customWidth="1"/>
    <col min="4355" max="4355" width="12.5" style="8" customWidth="1"/>
    <col min="4356" max="4356" width="16.6640625" style="8" customWidth="1"/>
    <col min="4357" max="4360" width="9.33203125" style="8" customWidth="1"/>
    <col min="4361" max="4361" width="4.1640625" style="8" customWidth="1"/>
    <col min="4362" max="4362" width="7.6640625" style="8" customWidth="1"/>
    <col min="4363" max="4363" width="9.33203125" style="8" customWidth="1"/>
    <col min="4364" max="4364" width="7.83203125" style="8" customWidth="1"/>
    <col min="4365" max="4365" width="7" style="8" customWidth="1"/>
    <col min="4366" max="4366" width="6.5" style="8" customWidth="1"/>
    <col min="4367" max="4367" width="9.33203125" style="8" customWidth="1"/>
    <col min="4368" max="4368" width="12.83203125" style="8" customWidth="1"/>
    <col min="4369" max="4369" width="6.5" style="8" customWidth="1"/>
    <col min="4370" max="4370" width="10" style="8" customWidth="1"/>
    <col min="4371" max="4371" width="8.33203125" style="8" customWidth="1"/>
    <col min="4372" max="4608" width="9.33203125" style="8" customWidth="1"/>
    <col min="4609" max="4609" width="2.33203125" style="8" customWidth="1"/>
    <col min="4610" max="4610" width="7.83203125" style="8" customWidth="1"/>
    <col min="4611" max="4611" width="12.5" style="8" customWidth="1"/>
    <col min="4612" max="4612" width="16.6640625" style="8" customWidth="1"/>
    <col min="4613" max="4616" width="9.33203125" style="8" customWidth="1"/>
    <col min="4617" max="4617" width="4.1640625" style="8" customWidth="1"/>
    <col min="4618" max="4618" width="7.6640625" style="8" customWidth="1"/>
    <col min="4619" max="4619" width="9.33203125" style="8" customWidth="1"/>
    <col min="4620" max="4620" width="7.83203125" style="8" customWidth="1"/>
    <col min="4621" max="4621" width="7" style="8" customWidth="1"/>
    <col min="4622" max="4622" width="6.5" style="8" customWidth="1"/>
    <col min="4623" max="4623" width="9.33203125" style="8" customWidth="1"/>
    <col min="4624" max="4624" width="12.83203125" style="8" customWidth="1"/>
    <col min="4625" max="4625" width="6.5" style="8" customWidth="1"/>
    <col min="4626" max="4626" width="10" style="8" customWidth="1"/>
    <col min="4627" max="4627" width="8.33203125" style="8" customWidth="1"/>
    <col min="4628" max="4864" width="9.33203125" style="8" customWidth="1"/>
    <col min="4865" max="4865" width="2.33203125" style="8" customWidth="1"/>
    <col min="4866" max="4866" width="7.83203125" style="8" customWidth="1"/>
    <col min="4867" max="4867" width="12.5" style="8" customWidth="1"/>
    <col min="4868" max="4868" width="16.6640625" style="8" customWidth="1"/>
    <col min="4869" max="4872" width="9.33203125" style="8" customWidth="1"/>
    <col min="4873" max="4873" width="4.1640625" style="8" customWidth="1"/>
    <col min="4874" max="4874" width="7.6640625" style="8" customWidth="1"/>
    <col min="4875" max="4875" width="9.33203125" style="8" customWidth="1"/>
    <col min="4876" max="4876" width="7.83203125" style="8" customWidth="1"/>
    <col min="4877" max="4877" width="7" style="8" customWidth="1"/>
    <col min="4878" max="4878" width="6.5" style="8" customWidth="1"/>
    <col min="4879" max="4879" width="9.33203125" style="8" customWidth="1"/>
    <col min="4880" max="4880" width="12.83203125" style="8" customWidth="1"/>
    <col min="4881" max="4881" width="6.5" style="8" customWidth="1"/>
    <col min="4882" max="4882" width="10" style="8" customWidth="1"/>
    <col min="4883" max="4883" width="8.33203125" style="8" customWidth="1"/>
    <col min="4884" max="5120" width="9.33203125" style="8" customWidth="1"/>
    <col min="5121" max="5121" width="2.33203125" style="8" customWidth="1"/>
    <col min="5122" max="5122" width="7.83203125" style="8" customWidth="1"/>
    <col min="5123" max="5123" width="12.5" style="8" customWidth="1"/>
    <col min="5124" max="5124" width="16.6640625" style="8" customWidth="1"/>
    <col min="5125" max="5128" width="9.33203125" style="8" customWidth="1"/>
    <col min="5129" max="5129" width="4.1640625" style="8" customWidth="1"/>
    <col min="5130" max="5130" width="7.6640625" style="8" customWidth="1"/>
    <col min="5131" max="5131" width="9.33203125" style="8" customWidth="1"/>
    <col min="5132" max="5132" width="7.83203125" style="8" customWidth="1"/>
    <col min="5133" max="5133" width="7" style="8" customWidth="1"/>
    <col min="5134" max="5134" width="6.5" style="8" customWidth="1"/>
    <col min="5135" max="5135" width="9.33203125" style="8" customWidth="1"/>
    <col min="5136" max="5136" width="12.83203125" style="8" customWidth="1"/>
    <col min="5137" max="5137" width="6.5" style="8" customWidth="1"/>
    <col min="5138" max="5138" width="10" style="8" customWidth="1"/>
    <col min="5139" max="5139" width="8.33203125" style="8" customWidth="1"/>
    <col min="5140" max="5376" width="9.33203125" style="8" customWidth="1"/>
    <col min="5377" max="5377" width="2.33203125" style="8" customWidth="1"/>
    <col min="5378" max="5378" width="7.83203125" style="8" customWidth="1"/>
    <col min="5379" max="5379" width="12.5" style="8" customWidth="1"/>
    <col min="5380" max="5380" width="16.6640625" style="8" customWidth="1"/>
    <col min="5381" max="5384" width="9.33203125" style="8" customWidth="1"/>
    <col min="5385" max="5385" width="4.1640625" style="8" customWidth="1"/>
    <col min="5386" max="5386" width="7.6640625" style="8" customWidth="1"/>
    <col min="5387" max="5387" width="9.33203125" style="8" customWidth="1"/>
    <col min="5388" max="5388" width="7.83203125" style="8" customWidth="1"/>
    <col min="5389" max="5389" width="7" style="8" customWidth="1"/>
    <col min="5390" max="5390" width="6.5" style="8" customWidth="1"/>
    <col min="5391" max="5391" width="9.33203125" style="8" customWidth="1"/>
    <col min="5392" max="5392" width="12.83203125" style="8" customWidth="1"/>
    <col min="5393" max="5393" width="6.5" style="8" customWidth="1"/>
    <col min="5394" max="5394" width="10" style="8" customWidth="1"/>
    <col min="5395" max="5395" width="8.33203125" style="8" customWidth="1"/>
    <col min="5396" max="5632" width="9.33203125" style="8" customWidth="1"/>
    <col min="5633" max="5633" width="2.33203125" style="8" customWidth="1"/>
    <col min="5634" max="5634" width="7.83203125" style="8" customWidth="1"/>
    <col min="5635" max="5635" width="12.5" style="8" customWidth="1"/>
    <col min="5636" max="5636" width="16.6640625" style="8" customWidth="1"/>
    <col min="5637" max="5640" width="9.33203125" style="8" customWidth="1"/>
    <col min="5641" max="5641" width="4.1640625" style="8" customWidth="1"/>
    <col min="5642" max="5642" width="7.6640625" style="8" customWidth="1"/>
    <col min="5643" max="5643" width="9.33203125" style="8" customWidth="1"/>
    <col min="5644" max="5644" width="7.83203125" style="8" customWidth="1"/>
    <col min="5645" max="5645" width="7" style="8" customWidth="1"/>
    <col min="5646" max="5646" width="6.5" style="8" customWidth="1"/>
    <col min="5647" max="5647" width="9.33203125" style="8" customWidth="1"/>
    <col min="5648" max="5648" width="12.83203125" style="8" customWidth="1"/>
    <col min="5649" max="5649" width="6.5" style="8" customWidth="1"/>
    <col min="5650" max="5650" width="10" style="8" customWidth="1"/>
    <col min="5651" max="5651" width="8.33203125" style="8" customWidth="1"/>
    <col min="5652" max="5888" width="9.33203125" style="8" customWidth="1"/>
    <col min="5889" max="5889" width="2.33203125" style="8" customWidth="1"/>
    <col min="5890" max="5890" width="7.83203125" style="8" customWidth="1"/>
    <col min="5891" max="5891" width="12.5" style="8" customWidth="1"/>
    <col min="5892" max="5892" width="16.6640625" style="8" customWidth="1"/>
    <col min="5893" max="5896" width="9.33203125" style="8" customWidth="1"/>
    <col min="5897" max="5897" width="4.1640625" style="8" customWidth="1"/>
    <col min="5898" max="5898" width="7.6640625" style="8" customWidth="1"/>
    <col min="5899" max="5899" width="9.33203125" style="8" customWidth="1"/>
    <col min="5900" max="5900" width="7.83203125" style="8" customWidth="1"/>
    <col min="5901" max="5901" width="7" style="8" customWidth="1"/>
    <col min="5902" max="5902" width="6.5" style="8" customWidth="1"/>
    <col min="5903" max="5903" width="9.33203125" style="8" customWidth="1"/>
    <col min="5904" max="5904" width="12.83203125" style="8" customWidth="1"/>
    <col min="5905" max="5905" width="6.5" style="8" customWidth="1"/>
    <col min="5906" max="5906" width="10" style="8" customWidth="1"/>
    <col min="5907" max="5907" width="8.33203125" style="8" customWidth="1"/>
    <col min="5908" max="6144" width="9.33203125" style="8" customWidth="1"/>
    <col min="6145" max="6145" width="2.33203125" style="8" customWidth="1"/>
    <col min="6146" max="6146" width="7.83203125" style="8" customWidth="1"/>
    <col min="6147" max="6147" width="12.5" style="8" customWidth="1"/>
    <col min="6148" max="6148" width="16.6640625" style="8" customWidth="1"/>
    <col min="6149" max="6152" width="9.33203125" style="8" customWidth="1"/>
    <col min="6153" max="6153" width="4.1640625" style="8" customWidth="1"/>
    <col min="6154" max="6154" width="7.6640625" style="8" customWidth="1"/>
    <col min="6155" max="6155" width="9.33203125" style="8" customWidth="1"/>
    <col min="6156" max="6156" width="7.83203125" style="8" customWidth="1"/>
    <col min="6157" max="6157" width="7" style="8" customWidth="1"/>
    <col min="6158" max="6158" width="6.5" style="8" customWidth="1"/>
    <col min="6159" max="6159" width="9.33203125" style="8" customWidth="1"/>
    <col min="6160" max="6160" width="12.83203125" style="8" customWidth="1"/>
    <col min="6161" max="6161" width="6.5" style="8" customWidth="1"/>
    <col min="6162" max="6162" width="10" style="8" customWidth="1"/>
    <col min="6163" max="6163" width="8.33203125" style="8" customWidth="1"/>
    <col min="6164" max="6400" width="9.33203125" style="8" customWidth="1"/>
    <col min="6401" max="6401" width="2.33203125" style="8" customWidth="1"/>
    <col min="6402" max="6402" width="7.83203125" style="8" customWidth="1"/>
    <col min="6403" max="6403" width="12.5" style="8" customWidth="1"/>
    <col min="6404" max="6404" width="16.6640625" style="8" customWidth="1"/>
    <col min="6405" max="6408" width="9.33203125" style="8" customWidth="1"/>
    <col min="6409" max="6409" width="4.1640625" style="8" customWidth="1"/>
    <col min="6410" max="6410" width="7.6640625" style="8" customWidth="1"/>
    <col min="6411" max="6411" width="9.33203125" style="8" customWidth="1"/>
    <col min="6412" max="6412" width="7.83203125" style="8" customWidth="1"/>
    <col min="6413" max="6413" width="7" style="8" customWidth="1"/>
    <col min="6414" max="6414" width="6.5" style="8" customWidth="1"/>
    <col min="6415" max="6415" width="9.33203125" style="8" customWidth="1"/>
    <col min="6416" max="6416" width="12.83203125" style="8" customWidth="1"/>
    <col min="6417" max="6417" width="6.5" style="8" customWidth="1"/>
    <col min="6418" max="6418" width="10" style="8" customWidth="1"/>
    <col min="6419" max="6419" width="8.33203125" style="8" customWidth="1"/>
    <col min="6420" max="6656" width="9.33203125" style="8" customWidth="1"/>
    <col min="6657" max="6657" width="2.33203125" style="8" customWidth="1"/>
    <col min="6658" max="6658" width="7.83203125" style="8" customWidth="1"/>
    <col min="6659" max="6659" width="12.5" style="8" customWidth="1"/>
    <col min="6660" max="6660" width="16.6640625" style="8" customWidth="1"/>
    <col min="6661" max="6664" width="9.33203125" style="8" customWidth="1"/>
    <col min="6665" max="6665" width="4.1640625" style="8" customWidth="1"/>
    <col min="6666" max="6666" width="7.6640625" style="8" customWidth="1"/>
    <col min="6667" max="6667" width="9.33203125" style="8" customWidth="1"/>
    <col min="6668" max="6668" width="7.83203125" style="8" customWidth="1"/>
    <col min="6669" max="6669" width="7" style="8" customWidth="1"/>
    <col min="6670" max="6670" width="6.5" style="8" customWidth="1"/>
    <col min="6671" max="6671" width="9.33203125" style="8" customWidth="1"/>
    <col min="6672" max="6672" width="12.83203125" style="8" customWidth="1"/>
    <col min="6673" max="6673" width="6.5" style="8" customWidth="1"/>
    <col min="6674" max="6674" width="10" style="8" customWidth="1"/>
    <col min="6675" max="6675" width="8.33203125" style="8" customWidth="1"/>
    <col min="6676" max="6912" width="9.33203125" style="8" customWidth="1"/>
    <col min="6913" max="6913" width="2.33203125" style="8" customWidth="1"/>
    <col min="6914" max="6914" width="7.83203125" style="8" customWidth="1"/>
    <col min="6915" max="6915" width="12.5" style="8" customWidth="1"/>
    <col min="6916" max="6916" width="16.6640625" style="8" customWidth="1"/>
    <col min="6917" max="6920" width="9.33203125" style="8" customWidth="1"/>
    <col min="6921" max="6921" width="4.1640625" style="8" customWidth="1"/>
    <col min="6922" max="6922" width="7.6640625" style="8" customWidth="1"/>
    <col min="6923" max="6923" width="9.33203125" style="8" customWidth="1"/>
    <col min="6924" max="6924" width="7.83203125" style="8" customWidth="1"/>
    <col min="6925" max="6925" width="7" style="8" customWidth="1"/>
    <col min="6926" max="6926" width="6.5" style="8" customWidth="1"/>
    <col min="6927" max="6927" width="9.33203125" style="8" customWidth="1"/>
    <col min="6928" max="6928" width="12.83203125" style="8" customWidth="1"/>
    <col min="6929" max="6929" width="6.5" style="8" customWidth="1"/>
    <col min="6930" max="6930" width="10" style="8" customWidth="1"/>
    <col min="6931" max="6931" width="8.33203125" style="8" customWidth="1"/>
    <col min="6932" max="7168" width="9.33203125" style="8" customWidth="1"/>
    <col min="7169" max="7169" width="2.33203125" style="8" customWidth="1"/>
    <col min="7170" max="7170" width="7.83203125" style="8" customWidth="1"/>
    <col min="7171" max="7171" width="12.5" style="8" customWidth="1"/>
    <col min="7172" max="7172" width="16.6640625" style="8" customWidth="1"/>
    <col min="7173" max="7176" width="9.33203125" style="8" customWidth="1"/>
    <col min="7177" max="7177" width="4.1640625" style="8" customWidth="1"/>
    <col min="7178" max="7178" width="7.6640625" style="8" customWidth="1"/>
    <col min="7179" max="7179" width="9.33203125" style="8" customWidth="1"/>
    <col min="7180" max="7180" width="7.83203125" style="8" customWidth="1"/>
    <col min="7181" max="7181" width="7" style="8" customWidth="1"/>
    <col min="7182" max="7182" width="6.5" style="8" customWidth="1"/>
    <col min="7183" max="7183" width="9.33203125" style="8" customWidth="1"/>
    <col min="7184" max="7184" width="12.83203125" style="8" customWidth="1"/>
    <col min="7185" max="7185" width="6.5" style="8" customWidth="1"/>
    <col min="7186" max="7186" width="10" style="8" customWidth="1"/>
    <col min="7187" max="7187" width="8.33203125" style="8" customWidth="1"/>
    <col min="7188" max="7424" width="9.33203125" style="8" customWidth="1"/>
    <col min="7425" max="7425" width="2.33203125" style="8" customWidth="1"/>
    <col min="7426" max="7426" width="7.83203125" style="8" customWidth="1"/>
    <col min="7427" max="7427" width="12.5" style="8" customWidth="1"/>
    <col min="7428" max="7428" width="16.6640625" style="8" customWidth="1"/>
    <col min="7429" max="7432" width="9.33203125" style="8" customWidth="1"/>
    <col min="7433" max="7433" width="4.1640625" style="8" customWidth="1"/>
    <col min="7434" max="7434" width="7.6640625" style="8" customWidth="1"/>
    <col min="7435" max="7435" width="9.33203125" style="8" customWidth="1"/>
    <col min="7436" max="7436" width="7.83203125" style="8" customWidth="1"/>
    <col min="7437" max="7437" width="7" style="8" customWidth="1"/>
    <col min="7438" max="7438" width="6.5" style="8" customWidth="1"/>
    <col min="7439" max="7439" width="9.33203125" style="8" customWidth="1"/>
    <col min="7440" max="7440" width="12.83203125" style="8" customWidth="1"/>
    <col min="7441" max="7441" width="6.5" style="8" customWidth="1"/>
    <col min="7442" max="7442" width="10" style="8" customWidth="1"/>
    <col min="7443" max="7443" width="8.33203125" style="8" customWidth="1"/>
    <col min="7444" max="7680" width="9.33203125" style="8" customWidth="1"/>
    <col min="7681" max="7681" width="2.33203125" style="8" customWidth="1"/>
    <col min="7682" max="7682" width="7.83203125" style="8" customWidth="1"/>
    <col min="7683" max="7683" width="12.5" style="8" customWidth="1"/>
    <col min="7684" max="7684" width="16.6640625" style="8" customWidth="1"/>
    <col min="7685" max="7688" width="9.33203125" style="8" customWidth="1"/>
    <col min="7689" max="7689" width="4.1640625" style="8" customWidth="1"/>
    <col min="7690" max="7690" width="7.6640625" style="8" customWidth="1"/>
    <col min="7691" max="7691" width="9.33203125" style="8" customWidth="1"/>
    <col min="7692" max="7692" width="7.83203125" style="8" customWidth="1"/>
    <col min="7693" max="7693" width="7" style="8" customWidth="1"/>
    <col min="7694" max="7694" width="6.5" style="8" customWidth="1"/>
    <col min="7695" max="7695" width="9.33203125" style="8" customWidth="1"/>
    <col min="7696" max="7696" width="12.83203125" style="8" customWidth="1"/>
    <col min="7697" max="7697" width="6.5" style="8" customWidth="1"/>
    <col min="7698" max="7698" width="10" style="8" customWidth="1"/>
    <col min="7699" max="7699" width="8.33203125" style="8" customWidth="1"/>
    <col min="7700" max="7936" width="9.33203125" style="8" customWidth="1"/>
    <col min="7937" max="7937" width="2.33203125" style="8" customWidth="1"/>
    <col min="7938" max="7938" width="7.83203125" style="8" customWidth="1"/>
    <col min="7939" max="7939" width="12.5" style="8" customWidth="1"/>
    <col min="7940" max="7940" width="16.6640625" style="8" customWidth="1"/>
    <col min="7941" max="7944" width="9.33203125" style="8" customWidth="1"/>
    <col min="7945" max="7945" width="4.1640625" style="8" customWidth="1"/>
    <col min="7946" max="7946" width="7.6640625" style="8" customWidth="1"/>
    <col min="7947" max="7947" width="9.33203125" style="8" customWidth="1"/>
    <col min="7948" max="7948" width="7.83203125" style="8" customWidth="1"/>
    <col min="7949" max="7949" width="7" style="8" customWidth="1"/>
    <col min="7950" max="7950" width="6.5" style="8" customWidth="1"/>
    <col min="7951" max="7951" width="9.33203125" style="8" customWidth="1"/>
    <col min="7952" max="7952" width="12.83203125" style="8" customWidth="1"/>
    <col min="7953" max="7953" width="6.5" style="8" customWidth="1"/>
    <col min="7954" max="7954" width="10" style="8" customWidth="1"/>
    <col min="7955" max="7955" width="8.33203125" style="8" customWidth="1"/>
    <col min="7956" max="8192" width="9.33203125" style="8" customWidth="1"/>
    <col min="8193" max="8193" width="2.33203125" style="8" customWidth="1"/>
    <col min="8194" max="8194" width="7.83203125" style="8" customWidth="1"/>
    <col min="8195" max="8195" width="12.5" style="8" customWidth="1"/>
    <col min="8196" max="8196" width="16.6640625" style="8" customWidth="1"/>
    <col min="8197" max="8200" width="9.33203125" style="8" customWidth="1"/>
    <col min="8201" max="8201" width="4.1640625" style="8" customWidth="1"/>
    <col min="8202" max="8202" width="7.6640625" style="8" customWidth="1"/>
    <col min="8203" max="8203" width="9.33203125" style="8" customWidth="1"/>
    <col min="8204" max="8204" width="7.83203125" style="8" customWidth="1"/>
    <col min="8205" max="8205" width="7" style="8" customWidth="1"/>
    <col min="8206" max="8206" width="6.5" style="8" customWidth="1"/>
    <col min="8207" max="8207" width="9.33203125" style="8" customWidth="1"/>
    <col min="8208" max="8208" width="12.83203125" style="8" customWidth="1"/>
    <col min="8209" max="8209" width="6.5" style="8" customWidth="1"/>
    <col min="8210" max="8210" width="10" style="8" customWidth="1"/>
    <col min="8211" max="8211" width="8.33203125" style="8" customWidth="1"/>
    <col min="8212" max="8448" width="9.33203125" style="8" customWidth="1"/>
    <col min="8449" max="8449" width="2.33203125" style="8" customWidth="1"/>
    <col min="8450" max="8450" width="7.83203125" style="8" customWidth="1"/>
    <col min="8451" max="8451" width="12.5" style="8" customWidth="1"/>
    <col min="8452" max="8452" width="16.6640625" style="8" customWidth="1"/>
    <col min="8453" max="8456" width="9.33203125" style="8" customWidth="1"/>
    <col min="8457" max="8457" width="4.1640625" style="8" customWidth="1"/>
    <col min="8458" max="8458" width="7.6640625" style="8" customWidth="1"/>
    <col min="8459" max="8459" width="9.33203125" style="8" customWidth="1"/>
    <col min="8460" max="8460" width="7.83203125" style="8" customWidth="1"/>
    <col min="8461" max="8461" width="7" style="8" customWidth="1"/>
    <col min="8462" max="8462" width="6.5" style="8" customWidth="1"/>
    <col min="8463" max="8463" width="9.33203125" style="8" customWidth="1"/>
    <col min="8464" max="8464" width="12.83203125" style="8" customWidth="1"/>
    <col min="8465" max="8465" width="6.5" style="8" customWidth="1"/>
    <col min="8466" max="8466" width="10" style="8" customWidth="1"/>
    <col min="8467" max="8467" width="8.33203125" style="8" customWidth="1"/>
    <col min="8468" max="8704" width="9.33203125" style="8" customWidth="1"/>
    <col min="8705" max="8705" width="2.33203125" style="8" customWidth="1"/>
    <col min="8706" max="8706" width="7.83203125" style="8" customWidth="1"/>
    <col min="8707" max="8707" width="12.5" style="8" customWidth="1"/>
    <col min="8708" max="8708" width="16.6640625" style="8" customWidth="1"/>
    <col min="8709" max="8712" width="9.33203125" style="8" customWidth="1"/>
    <col min="8713" max="8713" width="4.1640625" style="8" customWidth="1"/>
    <col min="8714" max="8714" width="7.6640625" style="8" customWidth="1"/>
    <col min="8715" max="8715" width="9.33203125" style="8" customWidth="1"/>
    <col min="8716" max="8716" width="7.83203125" style="8" customWidth="1"/>
    <col min="8717" max="8717" width="7" style="8" customWidth="1"/>
    <col min="8718" max="8718" width="6.5" style="8" customWidth="1"/>
    <col min="8719" max="8719" width="9.33203125" style="8" customWidth="1"/>
    <col min="8720" max="8720" width="12.83203125" style="8" customWidth="1"/>
    <col min="8721" max="8721" width="6.5" style="8" customWidth="1"/>
    <col min="8722" max="8722" width="10" style="8" customWidth="1"/>
    <col min="8723" max="8723" width="8.33203125" style="8" customWidth="1"/>
    <col min="8724" max="8960" width="9.33203125" style="8" customWidth="1"/>
    <col min="8961" max="8961" width="2.33203125" style="8" customWidth="1"/>
    <col min="8962" max="8962" width="7.83203125" style="8" customWidth="1"/>
    <col min="8963" max="8963" width="12.5" style="8" customWidth="1"/>
    <col min="8964" max="8964" width="16.6640625" style="8" customWidth="1"/>
    <col min="8965" max="8968" width="9.33203125" style="8" customWidth="1"/>
    <col min="8969" max="8969" width="4.1640625" style="8" customWidth="1"/>
    <col min="8970" max="8970" width="7.6640625" style="8" customWidth="1"/>
    <col min="8971" max="8971" width="9.33203125" style="8" customWidth="1"/>
    <col min="8972" max="8972" width="7.83203125" style="8" customWidth="1"/>
    <col min="8973" max="8973" width="7" style="8" customWidth="1"/>
    <col min="8974" max="8974" width="6.5" style="8" customWidth="1"/>
    <col min="8975" max="8975" width="9.33203125" style="8" customWidth="1"/>
    <col min="8976" max="8976" width="12.83203125" style="8" customWidth="1"/>
    <col min="8977" max="8977" width="6.5" style="8" customWidth="1"/>
    <col min="8978" max="8978" width="10" style="8" customWidth="1"/>
    <col min="8979" max="8979" width="8.33203125" style="8" customWidth="1"/>
    <col min="8980" max="9216" width="9.33203125" style="8" customWidth="1"/>
    <col min="9217" max="9217" width="2.33203125" style="8" customWidth="1"/>
    <col min="9218" max="9218" width="7.83203125" style="8" customWidth="1"/>
    <col min="9219" max="9219" width="12.5" style="8" customWidth="1"/>
    <col min="9220" max="9220" width="16.6640625" style="8" customWidth="1"/>
    <col min="9221" max="9224" width="9.33203125" style="8" customWidth="1"/>
    <col min="9225" max="9225" width="4.1640625" style="8" customWidth="1"/>
    <col min="9226" max="9226" width="7.6640625" style="8" customWidth="1"/>
    <col min="9227" max="9227" width="9.33203125" style="8" customWidth="1"/>
    <col min="9228" max="9228" width="7.83203125" style="8" customWidth="1"/>
    <col min="9229" max="9229" width="7" style="8" customWidth="1"/>
    <col min="9230" max="9230" width="6.5" style="8" customWidth="1"/>
    <col min="9231" max="9231" width="9.33203125" style="8" customWidth="1"/>
    <col min="9232" max="9232" width="12.83203125" style="8" customWidth="1"/>
    <col min="9233" max="9233" width="6.5" style="8" customWidth="1"/>
    <col min="9234" max="9234" width="10" style="8" customWidth="1"/>
    <col min="9235" max="9235" width="8.33203125" style="8" customWidth="1"/>
    <col min="9236" max="9472" width="9.33203125" style="8" customWidth="1"/>
    <col min="9473" max="9473" width="2.33203125" style="8" customWidth="1"/>
    <col min="9474" max="9474" width="7.83203125" style="8" customWidth="1"/>
    <col min="9475" max="9475" width="12.5" style="8" customWidth="1"/>
    <col min="9476" max="9476" width="16.6640625" style="8" customWidth="1"/>
    <col min="9477" max="9480" width="9.33203125" style="8" customWidth="1"/>
    <col min="9481" max="9481" width="4.1640625" style="8" customWidth="1"/>
    <col min="9482" max="9482" width="7.6640625" style="8" customWidth="1"/>
    <col min="9483" max="9483" width="9.33203125" style="8" customWidth="1"/>
    <col min="9484" max="9484" width="7.83203125" style="8" customWidth="1"/>
    <col min="9485" max="9485" width="7" style="8" customWidth="1"/>
    <col min="9486" max="9486" width="6.5" style="8" customWidth="1"/>
    <col min="9487" max="9487" width="9.33203125" style="8" customWidth="1"/>
    <col min="9488" max="9488" width="12.83203125" style="8" customWidth="1"/>
    <col min="9489" max="9489" width="6.5" style="8" customWidth="1"/>
    <col min="9490" max="9490" width="10" style="8" customWidth="1"/>
    <col min="9491" max="9491" width="8.33203125" style="8" customWidth="1"/>
    <col min="9492" max="9728" width="9.33203125" style="8" customWidth="1"/>
    <col min="9729" max="9729" width="2.33203125" style="8" customWidth="1"/>
    <col min="9730" max="9730" width="7.83203125" style="8" customWidth="1"/>
    <col min="9731" max="9731" width="12.5" style="8" customWidth="1"/>
    <col min="9732" max="9732" width="16.6640625" style="8" customWidth="1"/>
    <col min="9733" max="9736" width="9.33203125" style="8" customWidth="1"/>
    <col min="9737" max="9737" width="4.1640625" style="8" customWidth="1"/>
    <col min="9738" max="9738" width="7.6640625" style="8" customWidth="1"/>
    <col min="9739" max="9739" width="9.33203125" style="8" customWidth="1"/>
    <col min="9740" max="9740" width="7.83203125" style="8" customWidth="1"/>
    <col min="9741" max="9741" width="7" style="8" customWidth="1"/>
    <col min="9742" max="9742" width="6.5" style="8" customWidth="1"/>
    <col min="9743" max="9743" width="9.33203125" style="8" customWidth="1"/>
    <col min="9744" max="9744" width="12.83203125" style="8" customWidth="1"/>
    <col min="9745" max="9745" width="6.5" style="8" customWidth="1"/>
    <col min="9746" max="9746" width="10" style="8" customWidth="1"/>
    <col min="9747" max="9747" width="8.33203125" style="8" customWidth="1"/>
    <col min="9748" max="9984" width="9.33203125" style="8" customWidth="1"/>
    <col min="9985" max="9985" width="2.33203125" style="8" customWidth="1"/>
    <col min="9986" max="9986" width="7.83203125" style="8" customWidth="1"/>
    <col min="9987" max="9987" width="12.5" style="8" customWidth="1"/>
    <col min="9988" max="9988" width="16.6640625" style="8" customWidth="1"/>
    <col min="9989" max="9992" width="9.33203125" style="8" customWidth="1"/>
    <col min="9993" max="9993" width="4.1640625" style="8" customWidth="1"/>
    <col min="9994" max="9994" width="7.6640625" style="8" customWidth="1"/>
    <col min="9995" max="9995" width="9.33203125" style="8" customWidth="1"/>
    <col min="9996" max="9996" width="7.83203125" style="8" customWidth="1"/>
    <col min="9997" max="9997" width="7" style="8" customWidth="1"/>
    <col min="9998" max="9998" width="6.5" style="8" customWidth="1"/>
    <col min="9999" max="9999" width="9.33203125" style="8" customWidth="1"/>
    <col min="10000" max="10000" width="12.83203125" style="8" customWidth="1"/>
    <col min="10001" max="10001" width="6.5" style="8" customWidth="1"/>
    <col min="10002" max="10002" width="10" style="8" customWidth="1"/>
    <col min="10003" max="10003" width="8.33203125" style="8" customWidth="1"/>
    <col min="10004" max="10240" width="9.33203125" style="8" customWidth="1"/>
    <col min="10241" max="10241" width="2.33203125" style="8" customWidth="1"/>
    <col min="10242" max="10242" width="7.83203125" style="8" customWidth="1"/>
    <col min="10243" max="10243" width="12.5" style="8" customWidth="1"/>
    <col min="10244" max="10244" width="16.6640625" style="8" customWidth="1"/>
    <col min="10245" max="10248" width="9.33203125" style="8" customWidth="1"/>
    <col min="10249" max="10249" width="4.1640625" style="8" customWidth="1"/>
    <col min="10250" max="10250" width="7.6640625" style="8" customWidth="1"/>
    <col min="10251" max="10251" width="9.33203125" style="8" customWidth="1"/>
    <col min="10252" max="10252" width="7.83203125" style="8" customWidth="1"/>
    <col min="10253" max="10253" width="7" style="8" customWidth="1"/>
    <col min="10254" max="10254" width="6.5" style="8" customWidth="1"/>
    <col min="10255" max="10255" width="9.33203125" style="8" customWidth="1"/>
    <col min="10256" max="10256" width="12.83203125" style="8" customWidth="1"/>
    <col min="10257" max="10257" width="6.5" style="8" customWidth="1"/>
    <col min="10258" max="10258" width="10" style="8" customWidth="1"/>
    <col min="10259" max="10259" width="8.33203125" style="8" customWidth="1"/>
    <col min="10260" max="10496" width="9.33203125" style="8" customWidth="1"/>
    <col min="10497" max="10497" width="2.33203125" style="8" customWidth="1"/>
    <col min="10498" max="10498" width="7.83203125" style="8" customWidth="1"/>
    <col min="10499" max="10499" width="12.5" style="8" customWidth="1"/>
    <col min="10500" max="10500" width="16.6640625" style="8" customWidth="1"/>
    <col min="10501" max="10504" width="9.33203125" style="8" customWidth="1"/>
    <col min="10505" max="10505" width="4.1640625" style="8" customWidth="1"/>
    <col min="10506" max="10506" width="7.6640625" style="8" customWidth="1"/>
    <col min="10507" max="10507" width="9.33203125" style="8" customWidth="1"/>
    <col min="10508" max="10508" width="7.83203125" style="8" customWidth="1"/>
    <col min="10509" max="10509" width="7" style="8" customWidth="1"/>
    <col min="10510" max="10510" width="6.5" style="8" customWidth="1"/>
    <col min="10511" max="10511" width="9.33203125" style="8" customWidth="1"/>
    <col min="10512" max="10512" width="12.83203125" style="8" customWidth="1"/>
    <col min="10513" max="10513" width="6.5" style="8" customWidth="1"/>
    <col min="10514" max="10514" width="10" style="8" customWidth="1"/>
    <col min="10515" max="10515" width="8.33203125" style="8" customWidth="1"/>
    <col min="10516" max="10752" width="9.33203125" style="8" customWidth="1"/>
    <col min="10753" max="10753" width="2.33203125" style="8" customWidth="1"/>
    <col min="10754" max="10754" width="7.83203125" style="8" customWidth="1"/>
    <col min="10755" max="10755" width="12.5" style="8" customWidth="1"/>
    <col min="10756" max="10756" width="16.6640625" style="8" customWidth="1"/>
    <col min="10757" max="10760" width="9.33203125" style="8" customWidth="1"/>
    <col min="10761" max="10761" width="4.1640625" style="8" customWidth="1"/>
    <col min="10762" max="10762" width="7.6640625" style="8" customWidth="1"/>
    <col min="10763" max="10763" width="9.33203125" style="8" customWidth="1"/>
    <col min="10764" max="10764" width="7.83203125" style="8" customWidth="1"/>
    <col min="10765" max="10765" width="7" style="8" customWidth="1"/>
    <col min="10766" max="10766" width="6.5" style="8" customWidth="1"/>
    <col min="10767" max="10767" width="9.33203125" style="8" customWidth="1"/>
    <col min="10768" max="10768" width="12.83203125" style="8" customWidth="1"/>
    <col min="10769" max="10769" width="6.5" style="8" customWidth="1"/>
    <col min="10770" max="10770" width="10" style="8" customWidth="1"/>
    <col min="10771" max="10771" width="8.33203125" style="8" customWidth="1"/>
    <col min="10772" max="11008" width="9.33203125" style="8" customWidth="1"/>
    <col min="11009" max="11009" width="2.33203125" style="8" customWidth="1"/>
    <col min="11010" max="11010" width="7.83203125" style="8" customWidth="1"/>
    <col min="11011" max="11011" width="12.5" style="8" customWidth="1"/>
    <col min="11012" max="11012" width="16.6640625" style="8" customWidth="1"/>
    <col min="11013" max="11016" width="9.33203125" style="8" customWidth="1"/>
    <col min="11017" max="11017" width="4.1640625" style="8" customWidth="1"/>
    <col min="11018" max="11018" width="7.6640625" style="8" customWidth="1"/>
    <col min="11019" max="11019" width="9.33203125" style="8" customWidth="1"/>
    <col min="11020" max="11020" width="7.83203125" style="8" customWidth="1"/>
    <col min="11021" max="11021" width="7" style="8" customWidth="1"/>
    <col min="11022" max="11022" width="6.5" style="8" customWidth="1"/>
    <col min="11023" max="11023" width="9.33203125" style="8" customWidth="1"/>
    <col min="11024" max="11024" width="12.83203125" style="8" customWidth="1"/>
    <col min="11025" max="11025" width="6.5" style="8" customWidth="1"/>
    <col min="11026" max="11026" width="10" style="8" customWidth="1"/>
    <col min="11027" max="11027" width="8.33203125" style="8" customWidth="1"/>
    <col min="11028" max="11264" width="9.33203125" style="8" customWidth="1"/>
    <col min="11265" max="11265" width="2.33203125" style="8" customWidth="1"/>
    <col min="11266" max="11266" width="7.83203125" style="8" customWidth="1"/>
    <col min="11267" max="11267" width="12.5" style="8" customWidth="1"/>
    <col min="11268" max="11268" width="16.6640625" style="8" customWidth="1"/>
    <col min="11269" max="11272" width="9.33203125" style="8" customWidth="1"/>
    <col min="11273" max="11273" width="4.1640625" style="8" customWidth="1"/>
    <col min="11274" max="11274" width="7.6640625" style="8" customWidth="1"/>
    <col min="11275" max="11275" width="9.33203125" style="8" customWidth="1"/>
    <col min="11276" max="11276" width="7.83203125" style="8" customWidth="1"/>
    <col min="11277" max="11277" width="7" style="8" customWidth="1"/>
    <col min="11278" max="11278" width="6.5" style="8" customWidth="1"/>
    <col min="11279" max="11279" width="9.33203125" style="8" customWidth="1"/>
    <col min="11280" max="11280" width="12.83203125" style="8" customWidth="1"/>
    <col min="11281" max="11281" width="6.5" style="8" customWidth="1"/>
    <col min="11282" max="11282" width="10" style="8" customWidth="1"/>
    <col min="11283" max="11283" width="8.33203125" style="8" customWidth="1"/>
    <col min="11284" max="11520" width="9.33203125" style="8" customWidth="1"/>
    <col min="11521" max="11521" width="2.33203125" style="8" customWidth="1"/>
    <col min="11522" max="11522" width="7.83203125" style="8" customWidth="1"/>
    <col min="11523" max="11523" width="12.5" style="8" customWidth="1"/>
    <col min="11524" max="11524" width="16.6640625" style="8" customWidth="1"/>
    <col min="11525" max="11528" width="9.33203125" style="8" customWidth="1"/>
    <col min="11529" max="11529" width="4.1640625" style="8" customWidth="1"/>
    <col min="11530" max="11530" width="7.6640625" style="8" customWidth="1"/>
    <col min="11531" max="11531" width="9.33203125" style="8" customWidth="1"/>
    <col min="11532" max="11532" width="7.83203125" style="8" customWidth="1"/>
    <col min="11533" max="11533" width="7" style="8" customWidth="1"/>
    <col min="11534" max="11534" width="6.5" style="8" customWidth="1"/>
    <col min="11535" max="11535" width="9.33203125" style="8" customWidth="1"/>
    <col min="11536" max="11536" width="12.83203125" style="8" customWidth="1"/>
    <col min="11537" max="11537" width="6.5" style="8" customWidth="1"/>
    <col min="11538" max="11538" width="10" style="8" customWidth="1"/>
    <col min="11539" max="11539" width="8.33203125" style="8" customWidth="1"/>
    <col min="11540" max="11776" width="9.33203125" style="8" customWidth="1"/>
    <col min="11777" max="11777" width="2.33203125" style="8" customWidth="1"/>
    <col min="11778" max="11778" width="7.83203125" style="8" customWidth="1"/>
    <col min="11779" max="11779" width="12.5" style="8" customWidth="1"/>
    <col min="11780" max="11780" width="16.6640625" style="8" customWidth="1"/>
    <col min="11781" max="11784" width="9.33203125" style="8" customWidth="1"/>
    <col min="11785" max="11785" width="4.1640625" style="8" customWidth="1"/>
    <col min="11786" max="11786" width="7.6640625" style="8" customWidth="1"/>
    <col min="11787" max="11787" width="9.33203125" style="8" customWidth="1"/>
    <col min="11788" max="11788" width="7.83203125" style="8" customWidth="1"/>
    <col min="11789" max="11789" width="7" style="8" customWidth="1"/>
    <col min="11790" max="11790" width="6.5" style="8" customWidth="1"/>
    <col min="11791" max="11791" width="9.33203125" style="8" customWidth="1"/>
    <col min="11792" max="11792" width="12.83203125" style="8" customWidth="1"/>
    <col min="11793" max="11793" width="6.5" style="8" customWidth="1"/>
    <col min="11794" max="11794" width="10" style="8" customWidth="1"/>
    <col min="11795" max="11795" width="8.33203125" style="8" customWidth="1"/>
    <col min="11796" max="12032" width="9.33203125" style="8" customWidth="1"/>
    <col min="12033" max="12033" width="2.33203125" style="8" customWidth="1"/>
    <col min="12034" max="12034" width="7.83203125" style="8" customWidth="1"/>
    <col min="12035" max="12035" width="12.5" style="8" customWidth="1"/>
    <col min="12036" max="12036" width="16.6640625" style="8" customWidth="1"/>
    <col min="12037" max="12040" width="9.33203125" style="8" customWidth="1"/>
    <col min="12041" max="12041" width="4.1640625" style="8" customWidth="1"/>
    <col min="12042" max="12042" width="7.6640625" style="8" customWidth="1"/>
    <col min="12043" max="12043" width="9.33203125" style="8" customWidth="1"/>
    <col min="12044" max="12044" width="7.83203125" style="8" customWidth="1"/>
    <col min="12045" max="12045" width="7" style="8" customWidth="1"/>
    <col min="12046" max="12046" width="6.5" style="8" customWidth="1"/>
    <col min="12047" max="12047" width="9.33203125" style="8" customWidth="1"/>
    <col min="12048" max="12048" width="12.83203125" style="8" customWidth="1"/>
    <col min="12049" max="12049" width="6.5" style="8" customWidth="1"/>
    <col min="12050" max="12050" width="10" style="8" customWidth="1"/>
    <col min="12051" max="12051" width="8.33203125" style="8" customWidth="1"/>
    <col min="12052" max="12288" width="9.33203125" style="8" customWidth="1"/>
    <col min="12289" max="12289" width="2.33203125" style="8" customWidth="1"/>
    <col min="12290" max="12290" width="7.83203125" style="8" customWidth="1"/>
    <col min="12291" max="12291" width="12.5" style="8" customWidth="1"/>
    <col min="12292" max="12292" width="16.6640625" style="8" customWidth="1"/>
    <col min="12293" max="12296" width="9.33203125" style="8" customWidth="1"/>
    <col min="12297" max="12297" width="4.1640625" style="8" customWidth="1"/>
    <col min="12298" max="12298" width="7.6640625" style="8" customWidth="1"/>
    <col min="12299" max="12299" width="9.33203125" style="8" customWidth="1"/>
    <col min="12300" max="12300" width="7.83203125" style="8" customWidth="1"/>
    <col min="12301" max="12301" width="7" style="8" customWidth="1"/>
    <col min="12302" max="12302" width="6.5" style="8" customWidth="1"/>
    <col min="12303" max="12303" width="9.33203125" style="8" customWidth="1"/>
    <col min="12304" max="12304" width="12.83203125" style="8" customWidth="1"/>
    <col min="12305" max="12305" width="6.5" style="8" customWidth="1"/>
    <col min="12306" max="12306" width="10" style="8" customWidth="1"/>
    <col min="12307" max="12307" width="8.33203125" style="8" customWidth="1"/>
    <col min="12308" max="12544" width="9.33203125" style="8" customWidth="1"/>
    <col min="12545" max="12545" width="2.33203125" style="8" customWidth="1"/>
    <col min="12546" max="12546" width="7.83203125" style="8" customWidth="1"/>
    <col min="12547" max="12547" width="12.5" style="8" customWidth="1"/>
    <col min="12548" max="12548" width="16.6640625" style="8" customWidth="1"/>
    <col min="12549" max="12552" width="9.33203125" style="8" customWidth="1"/>
    <col min="12553" max="12553" width="4.1640625" style="8" customWidth="1"/>
    <col min="12554" max="12554" width="7.6640625" style="8" customWidth="1"/>
    <col min="12555" max="12555" width="9.33203125" style="8" customWidth="1"/>
    <col min="12556" max="12556" width="7.83203125" style="8" customWidth="1"/>
    <col min="12557" max="12557" width="7" style="8" customWidth="1"/>
    <col min="12558" max="12558" width="6.5" style="8" customWidth="1"/>
    <col min="12559" max="12559" width="9.33203125" style="8" customWidth="1"/>
    <col min="12560" max="12560" width="12.83203125" style="8" customWidth="1"/>
    <col min="12561" max="12561" width="6.5" style="8" customWidth="1"/>
    <col min="12562" max="12562" width="10" style="8" customWidth="1"/>
    <col min="12563" max="12563" width="8.33203125" style="8" customWidth="1"/>
    <col min="12564" max="12800" width="9.33203125" style="8" customWidth="1"/>
    <col min="12801" max="12801" width="2.33203125" style="8" customWidth="1"/>
    <col min="12802" max="12802" width="7.83203125" style="8" customWidth="1"/>
    <col min="12803" max="12803" width="12.5" style="8" customWidth="1"/>
    <col min="12804" max="12804" width="16.6640625" style="8" customWidth="1"/>
    <col min="12805" max="12808" width="9.33203125" style="8" customWidth="1"/>
    <col min="12809" max="12809" width="4.1640625" style="8" customWidth="1"/>
    <col min="12810" max="12810" width="7.6640625" style="8" customWidth="1"/>
    <col min="12811" max="12811" width="9.33203125" style="8" customWidth="1"/>
    <col min="12812" max="12812" width="7.83203125" style="8" customWidth="1"/>
    <col min="12813" max="12813" width="7" style="8" customWidth="1"/>
    <col min="12814" max="12814" width="6.5" style="8" customWidth="1"/>
    <col min="12815" max="12815" width="9.33203125" style="8" customWidth="1"/>
    <col min="12816" max="12816" width="12.83203125" style="8" customWidth="1"/>
    <col min="12817" max="12817" width="6.5" style="8" customWidth="1"/>
    <col min="12818" max="12818" width="10" style="8" customWidth="1"/>
    <col min="12819" max="12819" width="8.33203125" style="8" customWidth="1"/>
    <col min="12820" max="13056" width="9.33203125" style="8" customWidth="1"/>
    <col min="13057" max="13057" width="2.33203125" style="8" customWidth="1"/>
    <col min="13058" max="13058" width="7.83203125" style="8" customWidth="1"/>
    <col min="13059" max="13059" width="12.5" style="8" customWidth="1"/>
    <col min="13060" max="13060" width="16.6640625" style="8" customWidth="1"/>
    <col min="13061" max="13064" width="9.33203125" style="8" customWidth="1"/>
    <col min="13065" max="13065" width="4.1640625" style="8" customWidth="1"/>
    <col min="13066" max="13066" width="7.6640625" style="8" customWidth="1"/>
    <col min="13067" max="13067" width="9.33203125" style="8" customWidth="1"/>
    <col min="13068" max="13068" width="7.83203125" style="8" customWidth="1"/>
    <col min="13069" max="13069" width="7" style="8" customWidth="1"/>
    <col min="13070" max="13070" width="6.5" style="8" customWidth="1"/>
    <col min="13071" max="13071" width="9.33203125" style="8" customWidth="1"/>
    <col min="13072" max="13072" width="12.83203125" style="8" customWidth="1"/>
    <col min="13073" max="13073" width="6.5" style="8" customWidth="1"/>
    <col min="13074" max="13074" width="10" style="8" customWidth="1"/>
    <col min="13075" max="13075" width="8.33203125" style="8" customWidth="1"/>
    <col min="13076" max="13312" width="9.33203125" style="8" customWidth="1"/>
    <col min="13313" max="13313" width="2.33203125" style="8" customWidth="1"/>
    <col min="13314" max="13314" width="7.83203125" style="8" customWidth="1"/>
    <col min="13315" max="13315" width="12.5" style="8" customWidth="1"/>
    <col min="13316" max="13316" width="16.6640625" style="8" customWidth="1"/>
    <col min="13317" max="13320" width="9.33203125" style="8" customWidth="1"/>
    <col min="13321" max="13321" width="4.1640625" style="8" customWidth="1"/>
    <col min="13322" max="13322" width="7.6640625" style="8" customWidth="1"/>
    <col min="13323" max="13323" width="9.33203125" style="8" customWidth="1"/>
    <col min="13324" max="13324" width="7.83203125" style="8" customWidth="1"/>
    <col min="13325" max="13325" width="7" style="8" customWidth="1"/>
    <col min="13326" max="13326" width="6.5" style="8" customWidth="1"/>
    <col min="13327" max="13327" width="9.33203125" style="8" customWidth="1"/>
    <col min="13328" max="13328" width="12.83203125" style="8" customWidth="1"/>
    <col min="13329" max="13329" width="6.5" style="8" customWidth="1"/>
    <col min="13330" max="13330" width="10" style="8" customWidth="1"/>
    <col min="13331" max="13331" width="8.33203125" style="8" customWidth="1"/>
    <col min="13332" max="13568" width="9.33203125" style="8" customWidth="1"/>
    <col min="13569" max="13569" width="2.33203125" style="8" customWidth="1"/>
    <col min="13570" max="13570" width="7.83203125" style="8" customWidth="1"/>
    <col min="13571" max="13571" width="12.5" style="8" customWidth="1"/>
    <col min="13572" max="13572" width="16.6640625" style="8" customWidth="1"/>
    <col min="13573" max="13576" width="9.33203125" style="8" customWidth="1"/>
    <col min="13577" max="13577" width="4.1640625" style="8" customWidth="1"/>
    <col min="13578" max="13578" width="7.6640625" style="8" customWidth="1"/>
    <col min="13579" max="13579" width="9.33203125" style="8" customWidth="1"/>
    <col min="13580" max="13580" width="7.83203125" style="8" customWidth="1"/>
    <col min="13581" max="13581" width="7" style="8" customWidth="1"/>
    <col min="13582" max="13582" width="6.5" style="8" customWidth="1"/>
    <col min="13583" max="13583" width="9.33203125" style="8" customWidth="1"/>
    <col min="13584" max="13584" width="12.83203125" style="8" customWidth="1"/>
    <col min="13585" max="13585" width="6.5" style="8" customWidth="1"/>
    <col min="13586" max="13586" width="10" style="8" customWidth="1"/>
    <col min="13587" max="13587" width="8.33203125" style="8" customWidth="1"/>
    <col min="13588" max="13824" width="9.33203125" style="8" customWidth="1"/>
    <col min="13825" max="13825" width="2.33203125" style="8" customWidth="1"/>
    <col min="13826" max="13826" width="7.83203125" style="8" customWidth="1"/>
    <col min="13827" max="13827" width="12.5" style="8" customWidth="1"/>
    <col min="13828" max="13828" width="16.6640625" style="8" customWidth="1"/>
    <col min="13829" max="13832" width="9.33203125" style="8" customWidth="1"/>
    <col min="13833" max="13833" width="4.1640625" style="8" customWidth="1"/>
    <col min="13834" max="13834" width="7.6640625" style="8" customWidth="1"/>
    <col min="13835" max="13835" width="9.33203125" style="8" customWidth="1"/>
    <col min="13836" max="13836" width="7.83203125" style="8" customWidth="1"/>
    <col min="13837" max="13837" width="7" style="8" customWidth="1"/>
    <col min="13838" max="13838" width="6.5" style="8" customWidth="1"/>
    <col min="13839" max="13839" width="9.33203125" style="8" customWidth="1"/>
    <col min="13840" max="13840" width="12.83203125" style="8" customWidth="1"/>
    <col min="13841" max="13841" width="6.5" style="8" customWidth="1"/>
    <col min="13842" max="13842" width="10" style="8" customWidth="1"/>
    <col min="13843" max="13843" width="8.33203125" style="8" customWidth="1"/>
    <col min="13844" max="14080" width="9.33203125" style="8" customWidth="1"/>
    <col min="14081" max="14081" width="2.33203125" style="8" customWidth="1"/>
    <col min="14082" max="14082" width="7.83203125" style="8" customWidth="1"/>
    <col min="14083" max="14083" width="12.5" style="8" customWidth="1"/>
    <col min="14084" max="14084" width="16.6640625" style="8" customWidth="1"/>
    <col min="14085" max="14088" width="9.33203125" style="8" customWidth="1"/>
    <col min="14089" max="14089" width="4.1640625" style="8" customWidth="1"/>
    <col min="14090" max="14090" width="7.6640625" style="8" customWidth="1"/>
    <col min="14091" max="14091" width="9.33203125" style="8" customWidth="1"/>
    <col min="14092" max="14092" width="7.83203125" style="8" customWidth="1"/>
    <col min="14093" max="14093" width="7" style="8" customWidth="1"/>
    <col min="14094" max="14094" width="6.5" style="8" customWidth="1"/>
    <col min="14095" max="14095" width="9.33203125" style="8" customWidth="1"/>
    <col min="14096" max="14096" width="12.83203125" style="8" customWidth="1"/>
    <col min="14097" max="14097" width="6.5" style="8" customWidth="1"/>
    <col min="14098" max="14098" width="10" style="8" customWidth="1"/>
    <col min="14099" max="14099" width="8.33203125" style="8" customWidth="1"/>
    <col min="14100" max="14336" width="9.33203125" style="8" customWidth="1"/>
    <col min="14337" max="14337" width="2.33203125" style="8" customWidth="1"/>
    <col min="14338" max="14338" width="7.83203125" style="8" customWidth="1"/>
    <col min="14339" max="14339" width="12.5" style="8" customWidth="1"/>
    <col min="14340" max="14340" width="16.6640625" style="8" customWidth="1"/>
    <col min="14341" max="14344" width="9.33203125" style="8" customWidth="1"/>
    <col min="14345" max="14345" width="4.1640625" style="8" customWidth="1"/>
    <col min="14346" max="14346" width="7.6640625" style="8" customWidth="1"/>
    <col min="14347" max="14347" width="9.33203125" style="8" customWidth="1"/>
    <col min="14348" max="14348" width="7.83203125" style="8" customWidth="1"/>
    <col min="14349" max="14349" width="7" style="8" customWidth="1"/>
    <col min="14350" max="14350" width="6.5" style="8" customWidth="1"/>
    <col min="14351" max="14351" width="9.33203125" style="8" customWidth="1"/>
    <col min="14352" max="14352" width="12.83203125" style="8" customWidth="1"/>
    <col min="14353" max="14353" width="6.5" style="8" customWidth="1"/>
    <col min="14354" max="14354" width="10" style="8" customWidth="1"/>
    <col min="14355" max="14355" width="8.33203125" style="8" customWidth="1"/>
    <col min="14356" max="14592" width="9.33203125" style="8" customWidth="1"/>
    <col min="14593" max="14593" width="2.33203125" style="8" customWidth="1"/>
    <col min="14594" max="14594" width="7.83203125" style="8" customWidth="1"/>
    <col min="14595" max="14595" width="12.5" style="8" customWidth="1"/>
    <col min="14596" max="14596" width="16.6640625" style="8" customWidth="1"/>
    <col min="14597" max="14600" width="9.33203125" style="8" customWidth="1"/>
    <col min="14601" max="14601" width="4.1640625" style="8" customWidth="1"/>
    <col min="14602" max="14602" width="7.6640625" style="8" customWidth="1"/>
    <col min="14603" max="14603" width="9.33203125" style="8" customWidth="1"/>
    <col min="14604" max="14604" width="7.83203125" style="8" customWidth="1"/>
    <col min="14605" max="14605" width="7" style="8" customWidth="1"/>
    <col min="14606" max="14606" width="6.5" style="8" customWidth="1"/>
    <col min="14607" max="14607" width="9.33203125" style="8" customWidth="1"/>
    <col min="14608" max="14608" width="12.83203125" style="8" customWidth="1"/>
    <col min="14609" max="14609" width="6.5" style="8" customWidth="1"/>
    <col min="14610" max="14610" width="10" style="8" customWidth="1"/>
    <col min="14611" max="14611" width="8.33203125" style="8" customWidth="1"/>
    <col min="14612" max="14848" width="9.33203125" style="8" customWidth="1"/>
    <col min="14849" max="14849" width="2.33203125" style="8" customWidth="1"/>
    <col min="14850" max="14850" width="7.83203125" style="8" customWidth="1"/>
    <col min="14851" max="14851" width="12.5" style="8" customWidth="1"/>
    <col min="14852" max="14852" width="16.6640625" style="8" customWidth="1"/>
    <col min="14853" max="14856" width="9.33203125" style="8" customWidth="1"/>
    <col min="14857" max="14857" width="4.1640625" style="8" customWidth="1"/>
    <col min="14858" max="14858" width="7.6640625" style="8" customWidth="1"/>
    <col min="14859" max="14859" width="9.33203125" style="8" customWidth="1"/>
    <col min="14860" max="14860" width="7.83203125" style="8" customWidth="1"/>
    <col min="14861" max="14861" width="7" style="8" customWidth="1"/>
    <col min="14862" max="14862" width="6.5" style="8" customWidth="1"/>
    <col min="14863" max="14863" width="9.33203125" style="8" customWidth="1"/>
    <col min="14864" max="14864" width="12.83203125" style="8" customWidth="1"/>
    <col min="14865" max="14865" width="6.5" style="8" customWidth="1"/>
    <col min="14866" max="14866" width="10" style="8" customWidth="1"/>
    <col min="14867" max="14867" width="8.33203125" style="8" customWidth="1"/>
    <col min="14868" max="15104" width="9.33203125" style="8" customWidth="1"/>
    <col min="15105" max="15105" width="2.33203125" style="8" customWidth="1"/>
    <col min="15106" max="15106" width="7.83203125" style="8" customWidth="1"/>
    <col min="15107" max="15107" width="12.5" style="8" customWidth="1"/>
    <col min="15108" max="15108" width="16.6640625" style="8" customWidth="1"/>
    <col min="15109" max="15112" width="9.33203125" style="8" customWidth="1"/>
    <col min="15113" max="15113" width="4.1640625" style="8" customWidth="1"/>
    <col min="15114" max="15114" width="7.6640625" style="8" customWidth="1"/>
    <col min="15115" max="15115" width="9.33203125" style="8" customWidth="1"/>
    <col min="15116" max="15116" width="7.83203125" style="8" customWidth="1"/>
    <col min="15117" max="15117" width="7" style="8" customWidth="1"/>
    <col min="15118" max="15118" width="6.5" style="8" customWidth="1"/>
    <col min="15119" max="15119" width="9.33203125" style="8" customWidth="1"/>
    <col min="15120" max="15120" width="12.83203125" style="8" customWidth="1"/>
    <col min="15121" max="15121" width="6.5" style="8" customWidth="1"/>
    <col min="15122" max="15122" width="10" style="8" customWidth="1"/>
    <col min="15123" max="15123" width="8.33203125" style="8" customWidth="1"/>
    <col min="15124" max="15360" width="9.33203125" style="8" customWidth="1"/>
    <col min="15361" max="15361" width="2.33203125" style="8" customWidth="1"/>
    <col min="15362" max="15362" width="7.83203125" style="8" customWidth="1"/>
    <col min="15363" max="15363" width="12.5" style="8" customWidth="1"/>
    <col min="15364" max="15364" width="16.6640625" style="8" customWidth="1"/>
    <col min="15365" max="15368" width="9.33203125" style="8" customWidth="1"/>
    <col min="15369" max="15369" width="4.1640625" style="8" customWidth="1"/>
    <col min="15370" max="15370" width="7.6640625" style="8" customWidth="1"/>
    <col min="15371" max="15371" width="9.33203125" style="8" customWidth="1"/>
    <col min="15372" max="15372" width="7.83203125" style="8" customWidth="1"/>
    <col min="15373" max="15373" width="7" style="8" customWidth="1"/>
    <col min="15374" max="15374" width="6.5" style="8" customWidth="1"/>
    <col min="15375" max="15375" width="9.33203125" style="8" customWidth="1"/>
    <col min="15376" max="15376" width="12.83203125" style="8" customWidth="1"/>
    <col min="15377" max="15377" width="6.5" style="8" customWidth="1"/>
    <col min="15378" max="15378" width="10" style="8" customWidth="1"/>
    <col min="15379" max="15379" width="8.33203125" style="8" customWidth="1"/>
    <col min="15380" max="15616" width="9.33203125" style="8" customWidth="1"/>
    <col min="15617" max="15617" width="2.33203125" style="8" customWidth="1"/>
    <col min="15618" max="15618" width="7.83203125" style="8" customWidth="1"/>
    <col min="15619" max="15619" width="12.5" style="8" customWidth="1"/>
    <col min="15620" max="15620" width="16.6640625" style="8" customWidth="1"/>
    <col min="15621" max="15624" width="9.33203125" style="8" customWidth="1"/>
    <col min="15625" max="15625" width="4.1640625" style="8" customWidth="1"/>
    <col min="15626" max="15626" width="7.6640625" style="8" customWidth="1"/>
    <col min="15627" max="15627" width="9.33203125" style="8" customWidth="1"/>
    <col min="15628" max="15628" width="7.83203125" style="8" customWidth="1"/>
    <col min="15629" max="15629" width="7" style="8" customWidth="1"/>
    <col min="15630" max="15630" width="6.5" style="8" customWidth="1"/>
    <col min="15631" max="15631" width="9.33203125" style="8" customWidth="1"/>
    <col min="15632" max="15632" width="12.83203125" style="8" customWidth="1"/>
    <col min="15633" max="15633" width="6.5" style="8" customWidth="1"/>
    <col min="15634" max="15634" width="10" style="8" customWidth="1"/>
    <col min="15635" max="15635" width="8.33203125" style="8" customWidth="1"/>
    <col min="15636" max="15872" width="9.33203125" style="8" customWidth="1"/>
    <col min="15873" max="15873" width="2.33203125" style="8" customWidth="1"/>
    <col min="15874" max="15874" width="7.83203125" style="8" customWidth="1"/>
    <col min="15875" max="15875" width="12.5" style="8" customWidth="1"/>
    <col min="15876" max="15876" width="16.6640625" style="8" customWidth="1"/>
    <col min="15877" max="15880" width="9.33203125" style="8" customWidth="1"/>
    <col min="15881" max="15881" width="4.1640625" style="8" customWidth="1"/>
    <col min="15882" max="15882" width="7.6640625" style="8" customWidth="1"/>
    <col min="15883" max="15883" width="9.33203125" style="8" customWidth="1"/>
    <col min="15884" max="15884" width="7.83203125" style="8" customWidth="1"/>
    <col min="15885" max="15885" width="7" style="8" customWidth="1"/>
    <col min="15886" max="15886" width="6.5" style="8" customWidth="1"/>
    <col min="15887" max="15887" width="9.33203125" style="8" customWidth="1"/>
    <col min="15888" max="15888" width="12.83203125" style="8" customWidth="1"/>
    <col min="15889" max="15889" width="6.5" style="8" customWidth="1"/>
    <col min="15890" max="15890" width="10" style="8" customWidth="1"/>
    <col min="15891" max="15891" width="8.33203125" style="8" customWidth="1"/>
    <col min="15892" max="16128" width="9.33203125" style="8" customWidth="1"/>
    <col min="16129" max="16129" width="2.33203125" style="8" customWidth="1"/>
    <col min="16130" max="16130" width="7.83203125" style="8" customWidth="1"/>
    <col min="16131" max="16131" width="12.5" style="8" customWidth="1"/>
    <col min="16132" max="16132" width="16.6640625" style="8" customWidth="1"/>
    <col min="16133" max="16136" width="9.33203125" style="8" customWidth="1"/>
    <col min="16137" max="16137" width="4.1640625" style="8" customWidth="1"/>
    <col min="16138" max="16138" width="7.6640625" style="8" customWidth="1"/>
    <col min="16139" max="16139" width="9.33203125" style="8" customWidth="1"/>
    <col min="16140" max="16140" width="7.83203125" style="8" customWidth="1"/>
    <col min="16141" max="16141" width="7" style="8" customWidth="1"/>
    <col min="16142" max="16142" width="6.5" style="8" customWidth="1"/>
    <col min="16143" max="16143" width="9.33203125" style="8" customWidth="1"/>
    <col min="16144" max="16144" width="12.83203125" style="8" customWidth="1"/>
    <col min="16145" max="16145" width="6.5" style="8" customWidth="1"/>
    <col min="16146" max="16146" width="10" style="8" customWidth="1"/>
    <col min="16147" max="16147" width="8.33203125" style="8" customWidth="1"/>
    <col min="16148" max="16384" width="9.33203125" style="8" customWidth="1"/>
  </cols>
  <sheetData>
    <row r="1" spans="1:19" ht="17.25" customHeight="1">
      <c r="Q1" s="88">
        <v>46224</v>
      </c>
      <c r="R1" s="89"/>
      <c r="S1" s="89"/>
    </row>
    <row r="2" spans="1:19" ht="18.75" customHeight="1">
      <c r="P2" s="58" t="s">
        <v>54</v>
      </c>
      <c r="Q2" s="96">
        <v>5002</v>
      </c>
      <c r="R2" s="92"/>
      <c r="S2" s="92"/>
    </row>
    <row r="3" spans="1:19" ht="36" customHeight="1">
      <c r="A3" s="102" t="s">
        <v>46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spans="1:19" ht="17.25" customHeight="1">
      <c r="A4" s="9"/>
      <c r="B4" s="10"/>
      <c r="C4" s="10"/>
      <c r="D4" s="10"/>
      <c r="E4" s="10"/>
      <c r="F4" s="10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7.25" customHeight="1">
      <c r="A5" s="97" t="str">
        <f>'入力シート（LED工事用）'!C5</f>
        <v>支出負担行為担当官 
大阪法務局長 中尾　彰</v>
      </c>
      <c r="B5" s="89"/>
      <c r="C5" s="89"/>
      <c r="D5" s="89"/>
      <c r="E5" s="89"/>
      <c r="F5" s="89"/>
      <c r="G5" s="89"/>
    </row>
    <row r="6" spans="1:19" ht="25.5" customHeight="1">
      <c r="A6" s="92"/>
      <c r="B6" s="92"/>
      <c r="C6" s="92"/>
      <c r="D6" s="92"/>
      <c r="E6" s="92"/>
      <c r="F6" s="92"/>
      <c r="G6" s="92"/>
      <c r="H6" s="59" t="s">
        <v>55</v>
      </c>
      <c r="K6" s="98" t="s">
        <v>56</v>
      </c>
      <c r="L6" s="82"/>
      <c r="M6" s="82"/>
      <c r="N6" s="82"/>
      <c r="O6" s="82"/>
    </row>
    <row r="7" spans="1:19" ht="7.5" customHeight="1">
      <c r="K7" s="82"/>
      <c r="L7" s="82"/>
      <c r="M7" s="82"/>
      <c r="N7" s="82"/>
      <c r="O7" s="82"/>
    </row>
    <row r="8" spans="1:19" ht="17.25" customHeight="1">
      <c r="A8" s="60" t="s">
        <v>57</v>
      </c>
      <c r="K8" s="94" t="s">
        <v>58</v>
      </c>
      <c r="L8" s="82"/>
      <c r="M8" s="82"/>
      <c r="N8" s="82"/>
      <c r="O8" s="82"/>
      <c r="P8" s="82"/>
    </row>
    <row r="9" spans="1:19" ht="7.5" customHeight="1">
      <c r="K9" s="82"/>
      <c r="L9" s="82"/>
      <c r="M9" s="82"/>
      <c r="N9" s="82"/>
      <c r="O9" s="82"/>
      <c r="P9" s="82"/>
    </row>
    <row r="10" spans="1:19" ht="24.75" customHeight="1">
      <c r="B10" s="60" t="s">
        <v>59</v>
      </c>
      <c r="D10" s="95">
        <f>内訳明細書!F20</f>
        <v>17250000</v>
      </c>
      <c r="E10" s="89"/>
      <c r="F10" s="89"/>
      <c r="G10" s="89"/>
      <c r="K10" s="83" t="s">
        <v>60</v>
      </c>
      <c r="L10" s="82"/>
      <c r="M10" s="82"/>
      <c r="N10" s="82"/>
      <c r="O10" s="82"/>
      <c r="P10" s="82"/>
    </row>
    <row r="11" spans="1:19" ht="7.5" customHeight="1">
      <c r="K11" s="82"/>
      <c r="L11" s="82"/>
      <c r="M11" s="82"/>
      <c r="N11" s="82"/>
      <c r="O11" s="82"/>
      <c r="P11" s="82"/>
      <c r="Q11" s="12"/>
      <c r="R11" s="12"/>
      <c r="S11" s="12"/>
    </row>
    <row r="12" spans="1:19" ht="17.25" customHeight="1">
      <c r="B12" s="61" t="s">
        <v>4</v>
      </c>
      <c r="K12" s="99" t="s">
        <v>61</v>
      </c>
      <c r="L12" s="82"/>
      <c r="M12" s="82"/>
      <c r="N12" s="82"/>
      <c r="O12" s="82"/>
      <c r="P12" s="82"/>
      <c r="Q12" s="12"/>
      <c r="R12" s="12"/>
      <c r="S12" s="12"/>
    </row>
    <row r="13" spans="1:19" ht="7.5" customHeight="1">
      <c r="K13" s="82"/>
      <c r="L13" s="82"/>
      <c r="M13" s="82"/>
      <c r="N13" s="82"/>
      <c r="O13" s="82"/>
      <c r="P13" s="82"/>
      <c r="Q13" s="13"/>
      <c r="R13" s="13"/>
      <c r="S13" s="13"/>
    </row>
    <row r="14" spans="1:19" ht="24.75" customHeight="1">
      <c r="B14" s="93" t="str">
        <f>'入力シート（LED工事用）'!C6</f>
        <v>大阪法務局北大阪支局及び枚方出張所事務室等
照明器具ＬＥＤ改修工事</v>
      </c>
      <c r="C14" s="82"/>
      <c r="D14" s="82"/>
      <c r="E14" s="82"/>
      <c r="F14" s="82"/>
      <c r="G14" s="82"/>
      <c r="H14" s="82"/>
      <c r="K14" s="14" t="s">
        <v>62</v>
      </c>
      <c r="L14" s="15" t="s">
        <v>63</v>
      </c>
    </row>
    <row r="15" spans="1:19" ht="24.75" customHeight="1">
      <c r="B15" s="82"/>
      <c r="C15" s="82"/>
      <c r="D15" s="82"/>
      <c r="E15" s="82"/>
      <c r="F15" s="82"/>
      <c r="G15" s="82"/>
      <c r="H15" s="82"/>
      <c r="K15" s="16" t="s">
        <v>64</v>
      </c>
      <c r="L15" s="17" t="s">
        <v>65</v>
      </c>
    </row>
    <row r="16" spans="1:19" ht="24.75" customHeight="1"/>
    <row r="17" spans="1:19" ht="7.5" customHeight="1"/>
    <row r="20" spans="1:19" ht="10.5" customHeight="1"/>
    <row r="21" spans="1:19" ht="24.75" customHeight="1">
      <c r="A21" s="84" t="s">
        <v>66</v>
      </c>
      <c r="B21" s="82"/>
      <c r="C21" s="82"/>
      <c r="D21" s="91"/>
      <c r="E21" s="92"/>
      <c r="F21" s="92"/>
      <c r="G21" s="92"/>
      <c r="H21" s="92"/>
      <c r="I21" s="85" t="s">
        <v>67</v>
      </c>
      <c r="J21" s="82"/>
      <c r="K21" s="82"/>
      <c r="L21" s="91"/>
      <c r="M21" s="92"/>
      <c r="N21" s="92"/>
      <c r="O21" s="92"/>
      <c r="P21" s="92"/>
      <c r="Q21" s="92"/>
      <c r="R21" s="92"/>
      <c r="S21" s="92"/>
    </row>
    <row r="22" spans="1:19" ht="24.75" customHeight="1">
      <c r="A22" s="84" t="s">
        <v>68</v>
      </c>
      <c r="B22" s="82"/>
      <c r="C22" s="82"/>
      <c r="D22" s="86"/>
      <c r="E22" s="87"/>
      <c r="F22" s="87"/>
      <c r="G22" s="87"/>
      <c r="H22" s="87"/>
      <c r="I22" s="81" t="s">
        <v>69</v>
      </c>
      <c r="J22" s="82"/>
      <c r="K22" s="82"/>
      <c r="L22" s="86"/>
      <c r="M22" s="87"/>
      <c r="N22" s="87"/>
      <c r="O22" s="87"/>
      <c r="P22" s="87"/>
      <c r="Q22" s="87"/>
      <c r="R22" s="87"/>
      <c r="S22" s="87"/>
    </row>
    <row r="23" spans="1:19" ht="24.75" customHeight="1">
      <c r="L23" s="18"/>
      <c r="M23" s="18"/>
      <c r="N23" s="18"/>
      <c r="O23" s="18"/>
      <c r="P23" s="18"/>
      <c r="Q23" s="18"/>
      <c r="R23" s="18"/>
      <c r="S23" s="18"/>
    </row>
    <row r="24" spans="1:19" ht="24.75" customHeight="1">
      <c r="A24" s="60" t="s">
        <v>70</v>
      </c>
    </row>
    <row r="25" spans="1:19" ht="24.75" customHeight="1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</row>
    <row r="26" spans="1:19" ht="24.75" customHeight="1">
      <c r="A26" s="100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</row>
    <row r="27" spans="1:19" ht="24.75" customHeight="1">
      <c r="A27" s="100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9" customHeight="1"/>
    <row r="29" spans="1:19" ht="16.5" customHeight="1">
      <c r="A29" s="90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</row>
  </sheetData>
  <mergeCells count="22">
    <mergeCell ref="A26:S26"/>
    <mergeCell ref="Q1:S1"/>
    <mergeCell ref="A29:S29"/>
    <mergeCell ref="D21:H21"/>
    <mergeCell ref="B14:H15"/>
    <mergeCell ref="K8:P9"/>
    <mergeCell ref="A22:C22"/>
    <mergeCell ref="D10:G10"/>
    <mergeCell ref="Q2:S2"/>
    <mergeCell ref="A5:G6"/>
    <mergeCell ref="K6:O7"/>
    <mergeCell ref="L22:S22"/>
    <mergeCell ref="K12:P13"/>
    <mergeCell ref="A25:S25"/>
    <mergeCell ref="L21:S21"/>
    <mergeCell ref="A27:S27"/>
    <mergeCell ref="A3:S3"/>
    <mergeCell ref="I22:K22"/>
    <mergeCell ref="K10:P11"/>
    <mergeCell ref="A21:C21"/>
    <mergeCell ref="I21:K21"/>
    <mergeCell ref="D22:H22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Q27"/>
  <sheetViews>
    <sheetView view="pageBreakPreview" zoomScaleNormal="115" workbookViewId="0">
      <selection activeCell="P8" sqref="P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33.83203125" customWidth="1"/>
  </cols>
  <sheetData>
    <row r="1" spans="1:17" ht="21" customHeight="1">
      <c r="A1" s="8"/>
      <c r="B1" s="8"/>
      <c r="C1" s="8"/>
      <c r="D1" s="8"/>
      <c r="E1" s="8"/>
      <c r="F1" s="8"/>
      <c r="G1" s="19">
        <v>46224</v>
      </c>
      <c r="Q1" s="20"/>
    </row>
    <row r="2" spans="1:17" ht="19.5" customHeight="1">
      <c r="A2" s="8"/>
      <c r="B2" s="8"/>
      <c r="C2" s="8"/>
      <c r="D2" s="8"/>
      <c r="E2" s="8"/>
      <c r="F2" s="58" t="s">
        <v>54</v>
      </c>
      <c r="G2" s="21">
        <v>5002</v>
      </c>
    </row>
    <row r="3" spans="1:17" ht="40.5" customHeight="1">
      <c r="A3" s="103" t="s">
        <v>46</v>
      </c>
      <c r="B3" s="104"/>
      <c r="C3" s="104"/>
      <c r="D3" s="104"/>
      <c r="E3" s="104"/>
      <c r="F3" s="104"/>
      <c r="G3" s="104"/>
    </row>
    <row r="4" spans="1:17" ht="21" customHeight="1">
      <c r="A4" s="62" t="s">
        <v>71</v>
      </c>
      <c r="B4" s="62" t="s">
        <v>72</v>
      </c>
      <c r="C4" s="108" t="s">
        <v>73</v>
      </c>
      <c r="D4" s="109"/>
      <c r="E4" s="62" t="s">
        <v>74</v>
      </c>
      <c r="F4" s="62" t="s">
        <v>75</v>
      </c>
      <c r="G4" s="62" t="s">
        <v>76</v>
      </c>
    </row>
    <row r="5" spans="1:17" ht="21" customHeight="1">
      <c r="A5" s="22" t="s">
        <v>77</v>
      </c>
      <c r="B5" s="23"/>
      <c r="C5" s="23">
        <v>1</v>
      </c>
      <c r="D5" s="63" t="s">
        <v>78</v>
      </c>
      <c r="E5" s="23"/>
      <c r="F5" s="24">
        <f>SUM(F6,F7,F8)</f>
        <v>17250000</v>
      </c>
      <c r="G5" s="25" t="s">
        <v>79</v>
      </c>
    </row>
    <row r="6" spans="1:17" ht="21" customHeight="1">
      <c r="A6" s="64" t="s">
        <v>80</v>
      </c>
      <c r="B6" s="23"/>
      <c r="C6" s="23">
        <v>1</v>
      </c>
      <c r="D6" s="63" t="s">
        <v>78</v>
      </c>
      <c r="E6" s="23"/>
      <c r="F6" s="26">
        <f>SUM('①材料費　内訳(1)'!F20,'①材料費　内訳(2)'!F20,'①材料費　内訳(3)'!F20,'①材料費　内訳(4)'!F20,'①材料費　内訳(5)'!F20,'①材料費　内訳(6)'!F20,'①材料費　内訳(7)'!F20,'①材料費　内訳(8)'!F20)</f>
        <v>15000000</v>
      </c>
      <c r="G6" s="65" t="s">
        <v>81</v>
      </c>
    </row>
    <row r="7" spans="1:17" ht="19.5" customHeight="1">
      <c r="A7" s="64" t="s">
        <v>82</v>
      </c>
      <c r="B7" s="23"/>
      <c r="C7" s="23">
        <v>1</v>
      </c>
      <c r="D7" s="63" t="s">
        <v>78</v>
      </c>
      <c r="E7" s="23"/>
      <c r="F7" s="26">
        <f>P7*P8</f>
        <v>1200000</v>
      </c>
      <c r="G7" s="25"/>
      <c r="J7" s="105"/>
      <c r="K7" s="106"/>
      <c r="L7" s="107"/>
      <c r="M7" s="106"/>
      <c r="N7" s="44" t="s">
        <v>83</v>
      </c>
      <c r="P7" s="44">
        <f>SUM('①材料費　内訳(1)'!C20,'①材料費　内訳(2)'!C20,'①材料費　内訳(3)'!C20,'①材料費　内訳(4)'!C20,'①材料費　内訳(5)'!C20,'①材料費　内訳(6)'!C20,'①材料費　内訳(7)'!C20,'①材料費　内訳(8)'!C20)</f>
        <v>1500</v>
      </c>
    </row>
    <row r="8" spans="1:17" ht="21" customHeight="1">
      <c r="A8" s="64" t="s">
        <v>84</v>
      </c>
      <c r="B8" s="23"/>
      <c r="C8" s="23">
        <v>1</v>
      </c>
      <c r="D8" s="63" t="s">
        <v>78</v>
      </c>
      <c r="E8" s="23"/>
      <c r="F8" s="26">
        <f>P7*P9</f>
        <v>1050000</v>
      </c>
      <c r="G8" s="25"/>
      <c r="J8" s="6"/>
      <c r="L8" s="27"/>
      <c r="N8" s="44" t="s">
        <v>85</v>
      </c>
      <c r="P8" s="66">
        <f>'入力シート（LED工事用）'!C9</f>
        <v>800</v>
      </c>
    </row>
    <row r="9" spans="1:17" ht="21" customHeight="1">
      <c r="A9" s="22"/>
      <c r="B9" s="23"/>
      <c r="C9" s="23"/>
      <c r="D9" s="28"/>
      <c r="E9" s="23"/>
      <c r="F9" s="29"/>
      <c r="G9" s="25"/>
      <c r="J9" s="6"/>
      <c r="L9" s="27"/>
      <c r="N9" s="44" t="s">
        <v>86</v>
      </c>
      <c r="P9" s="66">
        <f>'入力シート（LED工事用）'!C10</f>
        <v>700</v>
      </c>
    </row>
    <row r="10" spans="1:17" ht="19.5" customHeight="1">
      <c r="A10" s="22" t="s">
        <v>87</v>
      </c>
      <c r="B10" s="23"/>
      <c r="C10" s="23">
        <v>1</v>
      </c>
      <c r="D10" s="63" t="s">
        <v>78</v>
      </c>
      <c r="E10" s="23"/>
      <c r="F10" s="24">
        <f>SUM(F11,F12,F16)</f>
        <v>0</v>
      </c>
      <c r="G10" s="25" t="s">
        <v>88</v>
      </c>
    </row>
    <row r="11" spans="1:17" ht="19.5" customHeight="1">
      <c r="A11" s="64" t="s">
        <v>89</v>
      </c>
      <c r="B11" s="23"/>
      <c r="C11" s="23">
        <v>1</v>
      </c>
      <c r="D11" s="63" t="s">
        <v>78</v>
      </c>
      <c r="E11" s="23"/>
      <c r="F11" s="26">
        <v>0</v>
      </c>
      <c r="G11" s="25"/>
    </row>
    <row r="12" spans="1:17" ht="19.5" customHeight="1">
      <c r="A12" s="67" t="s">
        <v>90</v>
      </c>
      <c r="B12" s="23"/>
      <c r="C12" s="23">
        <v>1</v>
      </c>
      <c r="D12" s="63" t="s">
        <v>78</v>
      </c>
      <c r="E12" s="23"/>
      <c r="F12" s="24">
        <f>SUM(F13,F14,F15)</f>
        <v>0</v>
      </c>
      <c r="G12" s="30"/>
    </row>
    <row r="13" spans="1:17" ht="19.5" customHeight="1">
      <c r="A13" s="64" t="s">
        <v>91</v>
      </c>
      <c r="B13" s="23"/>
      <c r="C13" s="23">
        <v>1</v>
      </c>
      <c r="D13" s="63" t="s">
        <v>78</v>
      </c>
      <c r="E13" s="23"/>
      <c r="F13" s="26">
        <v>0</v>
      </c>
      <c r="G13" s="25"/>
    </row>
    <row r="14" spans="1:17" ht="19.5" customHeight="1">
      <c r="A14" s="64" t="s">
        <v>92</v>
      </c>
      <c r="B14" s="23"/>
      <c r="C14" s="23">
        <v>1</v>
      </c>
      <c r="D14" s="63" t="s">
        <v>78</v>
      </c>
      <c r="E14" s="23"/>
      <c r="F14" s="26">
        <v>0</v>
      </c>
      <c r="G14" s="25"/>
    </row>
    <row r="15" spans="1:17" ht="19.5" customHeight="1">
      <c r="A15" s="67" t="s">
        <v>93</v>
      </c>
      <c r="B15" s="23"/>
      <c r="C15" s="23">
        <v>1</v>
      </c>
      <c r="D15" s="63" t="s">
        <v>78</v>
      </c>
      <c r="E15" s="23"/>
      <c r="F15" s="26">
        <v>0</v>
      </c>
      <c r="G15" s="31"/>
    </row>
    <row r="16" spans="1:17" ht="19.5" customHeight="1">
      <c r="A16" s="67" t="s">
        <v>94</v>
      </c>
      <c r="B16" s="23"/>
      <c r="C16" s="23">
        <v>1</v>
      </c>
      <c r="D16" s="63" t="s">
        <v>78</v>
      </c>
      <c r="E16" s="23"/>
      <c r="F16" s="26">
        <v>0</v>
      </c>
      <c r="G16" s="31"/>
    </row>
    <row r="17" spans="1:7" ht="19.5" customHeight="1">
      <c r="A17" s="32"/>
      <c r="B17" s="23"/>
      <c r="C17" s="23"/>
      <c r="D17" s="33"/>
      <c r="E17" s="23"/>
      <c r="F17" s="34"/>
      <c r="G17" s="31"/>
    </row>
    <row r="18" spans="1:7" ht="21" customHeight="1">
      <c r="A18" s="22"/>
      <c r="B18" s="23"/>
      <c r="C18" s="23"/>
      <c r="D18" s="28"/>
      <c r="E18" s="23"/>
      <c r="F18" s="34"/>
      <c r="G18" s="25"/>
    </row>
    <row r="19" spans="1:7" ht="21" customHeight="1">
      <c r="A19" s="35"/>
      <c r="B19" s="23"/>
      <c r="C19" s="23"/>
      <c r="D19" s="33"/>
      <c r="E19" s="23"/>
      <c r="F19" s="34"/>
      <c r="G19" s="31"/>
    </row>
    <row r="20" spans="1:7" ht="21" customHeight="1">
      <c r="A20" s="64" t="s">
        <v>59</v>
      </c>
      <c r="B20" s="23"/>
      <c r="C20" s="23"/>
      <c r="D20" s="63" t="s">
        <v>78</v>
      </c>
      <c r="E20" s="23"/>
      <c r="F20" s="34">
        <f>SUM(F5+F10)</f>
        <v>17250000</v>
      </c>
      <c r="G20" s="25" t="s">
        <v>95</v>
      </c>
    </row>
    <row r="21" spans="1:7" ht="21" customHeight="1">
      <c r="A21" s="35"/>
      <c r="B21" s="23"/>
      <c r="C21" s="23"/>
      <c r="D21" s="33"/>
      <c r="E21" s="23"/>
      <c r="F21" s="34"/>
      <c r="G21" s="31"/>
    </row>
    <row r="22" spans="1:7" ht="21" customHeight="1"/>
    <row r="23" spans="1:7" ht="19.5" customHeight="1"/>
    <row r="24" spans="1:7" ht="21" customHeight="1"/>
    <row r="25" spans="1:7" ht="19.5" customHeight="1"/>
    <row r="26" spans="1:7" ht="21" customHeight="1"/>
    <row r="27" spans="1:7" ht="20.25" customHeight="1"/>
  </sheetData>
  <mergeCells count="4">
    <mergeCell ref="A3:G3"/>
    <mergeCell ref="J7:K7"/>
    <mergeCell ref="L7:M7"/>
    <mergeCell ref="C4:D4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36">
        <v>46224</v>
      </c>
    </row>
    <row r="2" spans="1:8" ht="29.25" customHeight="1">
      <c r="A2" s="68" t="s">
        <v>96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22" t="s">
        <v>99</v>
      </c>
      <c r="B4" s="38"/>
      <c r="C4" s="23"/>
      <c r="D4" s="33"/>
      <c r="E4" s="23"/>
      <c r="F4" s="29"/>
      <c r="G4" s="31"/>
    </row>
    <row r="5" spans="1:8" ht="19.5" customHeight="1">
      <c r="A5" s="39" t="str">
        <f>IF('入力シート（LED工事用）'!B15="","",'入力シート（LED工事用）'!B15)</f>
        <v/>
      </c>
      <c r="B5" s="39" t="str">
        <f>IF('入力シート（LED工事用）'!C15="","",'入力シート（LED工事用）'!C15)</f>
        <v/>
      </c>
      <c r="C5" s="39">
        <f>IF('入力シート（LED工事用）'!D15="","",'入力シート（LED工事用）'!D15)</f>
        <v>1500</v>
      </c>
      <c r="D5" s="39" t="str">
        <f>IF('入力シート（LED工事用）'!D15="","","台")</f>
        <v>台</v>
      </c>
      <c r="E5" s="40">
        <f>IF('入力シート（LED工事用）'!G15="","",'入力シート（LED工事用）'!G15)</f>
        <v>10000</v>
      </c>
      <c r="F5" s="40">
        <f>IF('入力シート（LED工事用）'!H15="","",'入力シート（LED工事用）'!H15)</f>
        <v>15000000</v>
      </c>
      <c r="G5" s="39"/>
    </row>
    <row r="6" spans="1:8" ht="19.5" customHeight="1">
      <c r="A6" s="39" t="str">
        <f>IF('入力シート（LED工事用）'!B16="","",'入力シート（LED工事用）'!B16)</f>
        <v/>
      </c>
      <c r="B6" s="39" t="str">
        <f>IF('入力シート（LED工事用）'!C16="","",'入力シート（LED工事用）'!C16)</f>
        <v/>
      </c>
      <c r="C6" s="39" t="str">
        <f>IF('入力シート（LED工事用）'!D16="","",'入力シート（LED工事用）'!D16)</f>
        <v/>
      </c>
      <c r="D6" s="39" t="str">
        <f>IF('入力シート（LED工事用）'!D16="","","台")</f>
        <v/>
      </c>
      <c r="E6" s="40" t="str">
        <f>IF('入力シート（LED工事用）'!G16="","",'入力シート（LED工事用）'!G16)</f>
        <v/>
      </c>
      <c r="F6" s="40" t="str">
        <f>IF('入力シート（LED工事用）'!H16="","",'入力シート（LED工事用）'!H16)</f>
        <v/>
      </c>
      <c r="G6" s="39"/>
    </row>
    <row r="7" spans="1:8" ht="19.5" customHeight="1">
      <c r="A7" s="39" t="str">
        <f>IF('入力シート（LED工事用）'!B17="","",'入力シート（LED工事用）'!B17)</f>
        <v/>
      </c>
      <c r="B7" s="39" t="str">
        <f>IF('入力シート（LED工事用）'!C17="","",'入力シート（LED工事用）'!C17)</f>
        <v/>
      </c>
      <c r="C7" s="39" t="str">
        <f>IF('入力シート（LED工事用）'!D17="","",'入力シート（LED工事用）'!D17)</f>
        <v/>
      </c>
      <c r="D7" s="39" t="str">
        <f>IF('入力シート（LED工事用）'!D17="","","台")</f>
        <v/>
      </c>
      <c r="E7" s="40" t="str">
        <f>IF('入力シート（LED工事用）'!G17="","",'入力シート（LED工事用）'!G17)</f>
        <v/>
      </c>
      <c r="F7" s="40" t="str">
        <f>IF('入力シート（LED工事用）'!H17="","",'入力シート（LED工事用）'!H17)</f>
        <v/>
      </c>
      <c r="G7" s="39"/>
    </row>
    <row r="8" spans="1:8" ht="19.5" customHeight="1">
      <c r="A8" s="39" t="str">
        <f>IF('入力シート（LED工事用）'!B18="","",'入力シート（LED工事用）'!B18)</f>
        <v/>
      </c>
      <c r="B8" s="39" t="str">
        <f>IF('入力シート（LED工事用）'!C18="","",'入力シート（LED工事用）'!C18)</f>
        <v/>
      </c>
      <c r="C8" s="39" t="str">
        <f>IF('入力シート（LED工事用）'!D18="","",'入力シート（LED工事用）'!D18)</f>
        <v/>
      </c>
      <c r="D8" s="39" t="str">
        <f>IF('入力シート（LED工事用）'!D18="","","台")</f>
        <v/>
      </c>
      <c r="E8" s="40" t="str">
        <f>IF('入力シート（LED工事用）'!G18="","",'入力シート（LED工事用）'!G18)</f>
        <v/>
      </c>
      <c r="F8" s="40" t="str">
        <f>IF('入力シート（LED工事用）'!H18="","",'入力シート（LED工事用）'!H18)</f>
        <v/>
      </c>
      <c r="G8" s="39"/>
    </row>
    <row r="9" spans="1:8" ht="19.5" customHeight="1">
      <c r="A9" s="39" t="str">
        <f>IF('入力シート（LED工事用）'!B19="","",'入力シート（LED工事用）'!B19)</f>
        <v/>
      </c>
      <c r="B9" s="39" t="str">
        <f>IF('入力シート（LED工事用）'!C19="","",'入力シート（LED工事用）'!C19)</f>
        <v/>
      </c>
      <c r="C9" s="39" t="str">
        <f>IF('入力シート（LED工事用）'!D19="","",'入力シート（LED工事用）'!D19)</f>
        <v/>
      </c>
      <c r="D9" s="39" t="str">
        <f>IF('入力シート（LED工事用）'!D19="","","台")</f>
        <v/>
      </c>
      <c r="E9" s="40" t="str">
        <f>IF('入力シート（LED工事用）'!G19="","",'入力シート（LED工事用）'!G19)</f>
        <v/>
      </c>
      <c r="F9" s="40" t="str">
        <f>IF('入力シート（LED工事用）'!H19="","",'入力シート（LED工事用）'!H19)</f>
        <v/>
      </c>
      <c r="G9" s="39"/>
    </row>
    <row r="10" spans="1:8" ht="19.5" customHeight="1">
      <c r="A10" s="39" t="str">
        <f>IF('入力シート（LED工事用）'!B20="","",'入力シート（LED工事用）'!B20)</f>
        <v/>
      </c>
      <c r="B10" s="39" t="str">
        <f>IF('入力シート（LED工事用）'!C20="","",'入力シート（LED工事用）'!C20)</f>
        <v/>
      </c>
      <c r="C10" s="39" t="str">
        <f>IF('入力シート（LED工事用）'!D20="","",'入力シート（LED工事用）'!D20)</f>
        <v/>
      </c>
      <c r="D10" s="39" t="str">
        <f>IF('入力シート（LED工事用）'!D20="","","台")</f>
        <v/>
      </c>
      <c r="E10" s="40" t="str">
        <f>IF('入力シート（LED工事用）'!G20="","",'入力シート（LED工事用）'!G20)</f>
        <v/>
      </c>
      <c r="F10" s="40" t="str">
        <f>IF('入力シート（LED工事用）'!H20="","",'入力シート（LED工事用）'!H20)</f>
        <v/>
      </c>
      <c r="G10" s="39"/>
    </row>
    <row r="11" spans="1:8" ht="19.5" customHeight="1">
      <c r="A11" s="39" t="str">
        <f>IF('入力シート（LED工事用）'!B21="","",'入力シート（LED工事用）'!B21)</f>
        <v/>
      </c>
      <c r="B11" s="39" t="str">
        <f>IF('入力シート（LED工事用）'!C21="","",'入力シート（LED工事用）'!C21)</f>
        <v/>
      </c>
      <c r="C11" s="39" t="str">
        <f>IF('入力シート（LED工事用）'!D21="","",'入力シート（LED工事用）'!D21)</f>
        <v/>
      </c>
      <c r="D11" s="39" t="str">
        <f>IF('入力シート（LED工事用）'!D21="","","台")</f>
        <v/>
      </c>
      <c r="E11" s="40" t="str">
        <f>IF('入力シート（LED工事用）'!G21="","",'入力シート（LED工事用）'!G21)</f>
        <v/>
      </c>
      <c r="F11" s="40" t="str">
        <f>IF('入力シート（LED工事用）'!H21="","",'入力シート（LED工事用）'!H21)</f>
        <v/>
      </c>
      <c r="G11" s="39"/>
    </row>
    <row r="12" spans="1:8" ht="19.5" customHeight="1">
      <c r="A12" s="39" t="str">
        <f>IF('入力シート（LED工事用）'!B22="","",'入力シート（LED工事用）'!B22)</f>
        <v/>
      </c>
      <c r="B12" s="39" t="str">
        <f>IF('入力シート（LED工事用）'!C22="","",'入力シート（LED工事用）'!C22)</f>
        <v/>
      </c>
      <c r="C12" s="39" t="str">
        <f>IF('入力シート（LED工事用）'!D22="","",'入力シート（LED工事用）'!D22)</f>
        <v/>
      </c>
      <c r="D12" s="39" t="str">
        <f>IF('入力シート（LED工事用）'!D22="","","台")</f>
        <v/>
      </c>
      <c r="E12" s="40" t="str">
        <f>IF('入力シート（LED工事用）'!G22="","",'入力シート（LED工事用）'!G22)</f>
        <v/>
      </c>
      <c r="F12" s="40" t="str">
        <f>IF('入力シート（LED工事用）'!H22="","",'入力シート（LED工事用）'!H22)</f>
        <v/>
      </c>
      <c r="G12" s="39"/>
    </row>
    <row r="13" spans="1:8" ht="19.5" customHeight="1">
      <c r="A13" s="39" t="str">
        <f>IF('入力シート（LED工事用）'!B23="","",'入力シート（LED工事用）'!B23)</f>
        <v/>
      </c>
      <c r="B13" s="39" t="str">
        <f>IF('入力シート（LED工事用）'!C23="","",'入力シート（LED工事用）'!C23)</f>
        <v/>
      </c>
      <c r="C13" s="39" t="str">
        <f>IF('入力シート（LED工事用）'!D23="","",'入力シート（LED工事用）'!D23)</f>
        <v/>
      </c>
      <c r="D13" s="39" t="str">
        <f>IF('入力シート（LED工事用）'!D23="","","台")</f>
        <v/>
      </c>
      <c r="E13" s="40" t="str">
        <f>IF('入力シート（LED工事用）'!G23="","",'入力シート（LED工事用）'!G23)</f>
        <v/>
      </c>
      <c r="F13" s="40" t="str">
        <f>IF('入力シート（LED工事用）'!H23="","",'入力シート（LED工事用）'!H23)</f>
        <v/>
      </c>
      <c r="G13" s="39"/>
    </row>
    <row r="14" spans="1:8" ht="19.5" customHeight="1">
      <c r="A14" s="39" t="str">
        <f>IF('入力シート（LED工事用）'!B24="","",'入力シート（LED工事用）'!B24)</f>
        <v/>
      </c>
      <c r="B14" s="39" t="str">
        <f>IF('入力シート（LED工事用）'!C24="","",'入力シート（LED工事用）'!C24)</f>
        <v/>
      </c>
      <c r="C14" s="39" t="str">
        <f>IF('入力シート（LED工事用）'!D24="","",'入力シート（LED工事用）'!D24)</f>
        <v/>
      </c>
      <c r="D14" s="39" t="str">
        <f>IF('入力シート（LED工事用）'!D24="","","台")</f>
        <v/>
      </c>
      <c r="E14" s="40" t="str">
        <f>IF('入力シート（LED工事用）'!G24="","",'入力シート（LED工事用）'!G24)</f>
        <v/>
      </c>
      <c r="F14" s="40" t="str">
        <f>IF('入力シート（LED工事用）'!H24="","",'入力シート（LED工事用）'!H24)</f>
        <v/>
      </c>
      <c r="G14" s="39"/>
    </row>
    <row r="15" spans="1:8" ht="19.5" customHeight="1">
      <c r="A15" s="39" t="str">
        <f>IF('入力シート（LED工事用）'!B25="","",'入力シート（LED工事用）'!B25)</f>
        <v/>
      </c>
      <c r="B15" s="39" t="str">
        <f>IF('入力シート（LED工事用）'!C25="","",'入力シート（LED工事用）'!C25)</f>
        <v/>
      </c>
      <c r="C15" s="39" t="str">
        <f>IF('入力シート（LED工事用）'!D25="","",'入力シート（LED工事用）'!D25)</f>
        <v/>
      </c>
      <c r="D15" s="39" t="str">
        <f>IF('入力シート（LED工事用）'!D25="","","台")</f>
        <v/>
      </c>
      <c r="E15" s="40" t="str">
        <f>IF('入力シート（LED工事用）'!G25="","",'入力シート（LED工事用）'!G25)</f>
        <v/>
      </c>
      <c r="F15" s="40" t="str">
        <f>IF('入力シート（LED工事用）'!H25="","",'入力シート（LED工事用）'!H25)</f>
        <v/>
      </c>
      <c r="G15" s="39"/>
    </row>
    <row r="16" spans="1:8" ht="19.5" customHeight="1">
      <c r="A16" s="39" t="str">
        <f>IF('入力シート（LED工事用）'!B26="","",'入力シート（LED工事用）'!B26)</f>
        <v/>
      </c>
      <c r="B16" s="39" t="str">
        <f>IF('入力シート（LED工事用）'!C26="","",'入力シート（LED工事用）'!C26)</f>
        <v/>
      </c>
      <c r="C16" s="39" t="str">
        <f>IF('入力シート（LED工事用）'!D26="","",'入力シート（LED工事用）'!D26)</f>
        <v/>
      </c>
      <c r="D16" s="39" t="str">
        <f>IF('入力シート（LED工事用）'!D26="","","台")</f>
        <v/>
      </c>
      <c r="E16" s="40" t="str">
        <f>IF('入力シート（LED工事用）'!G26="","",'入力シート（LED工事用）'!G26)</f>
        <v/>
      </c>
      <c r="F16" s="40" t="str">
        <f>IF('入力シート（LED工事用）'!H26="","",'入力シート（LED工事用）'!H26)</f>
        <v/>
      </c>
      <c r="G16" s="39"/>
    </row>
    <row r="17" spans="1:7" ht="19.5" customHeight="1">
      <c r="A17" s="39" t="str">
        <f>IF('入力シート（LED工事用）'!B27="","",'入力シート（LED工事用）'!B27)</f>
        <v/>
      </c>
      <c r="B17" s="39" t="str">
        <f>IF('入力シート（LED工事用）'!C27="","",'入力シート（LED工事用）'!C27)</f>
        <v/>
      </c>
      <c r="C17" s="39" t="str">
        <f>IF('入力シート（LED工事用）'!D27="","",'入力シート（LED工事用）'!D27)</f>
        <v/>
      </c>
      <c r="D17" s="39" t="str">
        <f>IF('入力シート（LED工事用）'!D27="","","台")</f>
        <v/>
      </c>
      <c r="E17" s="40" t="str">
        <f>IF('入力シート（LED工事用）'!G27="","",'入力シート（LED工事用）'!G27)</f>
        <v/>
      </c>
      <c r="F17" s="40" t="str">
        <f>IF('入力シート（LED工事用）'!H27="","",'入力シート（LED工事用）'!H27)</f>
        <v/>
      </c>
      <c r="G17" s="39"/>
    </row>
    <row r="18" spans="1:7" ht="19.5" customHeight="1">
      <c r="A18" s="39" t="str">
        <f>IF('入力シート（LED工事用）'!B28="","",'入力シート（LED工事用）'!B28)</f>
        <v/>
      </c>
      <c r="B18" s="39" t="str">
        <f>IF('入力シート（LED工事用）'!C28="","",'入力シート（LED工事用）'!C28)</f>
        <v/>
      </c>
      <c r="C18" s="39" t="str">
        <f>IF('入力シート（LED工事用）'!D28="","",'入力シート（LED工事用）'!D28)</f>
        <v/>
      </c>
      <c r="D18" s="39" t="str">
        <f>IF('入力シート（LED工事用）'!D28="","","台")</f>
        <v/>
      </c>
      <c r="E18" s="40" t="str">
        <f>IF('入力シート（LED工事用）'!G28="","",'入力シート（LED工事用）'!G28)</f>
        <v/>
      </c>
      <c r="F18" s="40" t="str">
        <f>IF('入力シート（LED工事用）'!H28="","",'入力シート（LED工事用）'!H28)</f>
        <v/>
      </c>
      <c r="G18" s="39"/>
    </row>
    <row r="19" spans="1:7" ht="19.5" customHeight="1">
      <c r="A19" s="39" t="str">
        <f>IF('入力シート（LED工事用）'!B29="","",'入力シート（LED工事用）'!B29)</f>
        <v/>
      </c>
      <c r="B19" s="39" t="str">
        <f>IF('入力シート（LED工事用）'!C29="","",'入力シート（LED工事用）'!C29)</f>
        <v/>
      </c>
      <c r="C19" s="39" t="str">
        <f>IF('入力シート（LED工事用）'!D29="","",'入力シート（LED工事用）'!D29)</f>
        <v/>
      </c>
      <c r="D19" s="39" t="str">
        <f>IF('入力シート（LED工事用）'!D29="","","台")</f>
        <v/>
      </c>
      <c r="E19" s="40" t="str">
        <f>IF('入力シート（LED工事用）'!G29="","",'入力シート（LED工事用）'!G29)</f>
        <v/>
      </c>
      <c r="F19" s="40" t="str">
        <f>IF('入力シート（LED工事用）'!H29="","",'入力シート（LED工事用）'!H29)</f>
        <v/>
      </c>
      <c r="G19" s="39"/>
    </row>
    <row r="20" spans="1:7" ht="20.25" customHeight="1">
      <c r="A20" s="70" t="s">
        <v>100</v>
      </c>
      <c r="B20" s="41"/>
      <c r="C20" s="70">
        <f>SUM(C5:C19)</f>
        <v>1500</v>
      </c>
      <c r="D20" s="41"/>
      <c r="E20" s="41"/>
      <c r="F20" s="42">
        <f>SUM(F5:F19)</f>
        <v>15000000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101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IF('入力シート（LED工事用）'!B30="","",'入力シート（LED工事用）'!B30)</f>
        <v/>
      </c>
      <c r="B5" s="72" t="str">
        <f>IF('入力シート（LED工事用）'!C30="","",'入力シート（LED工事用）'!C30)</f>
        <v/>
      </c>
      <c r="C5" s="72" t="str">
        <f>IF('入力シート（LED工事用）'!D30="","",'入力シート（LED工事用）'!D30)</f>
        <v/>
      </c>
      <c r="D5" s="72" t="str">
        <f>IF('入力シート（LED工事用）'!D30="","","台")</f>
        <v/>
      </c>
      <c r="E5" s="73" t="str">
        <f>IF('入力シート（LED工事用）'!G30="","",'入力シート（LED工事用）'!G30)</f>
        <v/>
      </c>
      <c r="F5" s="73" t="str">
        <f>IF('入力シート（LED工事用）'!H30="","",'入力シート（LED工事用）'!H30)</f>
        <v/>
      </c>
      <c r="G5" s="39"/>
    </row>
    <row r="6" spans="1:8" ht="19.5" customHeight="1">
      <c r="A6" s="72" t="str">
        <f>IF('入力シート（LED工事用）'!B31="","",'入力シート（LED工事用）'!B31)</f>
        <v/>
      </c>
      <c r="B6" s="72" t="str">
        <f>IF('入力シート（LED工事用）'!C31="","",'入力シート（LED工事用）'!C31)</f>
        <v/>
      </c>
      <c r="C6" s="72" t="str">
        <f>IF('入力シート（LED工事用）'!D31="","",'入力シート（LED工事用）'!D31)</f>
        <v/>
      </c>
      <c r="D6" s="72" t="str">
        <f>IF('入力シート（LED工事用）'!D31="","","台")</f>
        <v/>
      </c>
      <c r="E6" s="73" t="str">
        <f>IF('入力シート（LED工事用）'!G31="","",'入力シート（LED工事用）'!G31)</f>
        <v/>
      </c>
      <c r="F6" s="73" t="str">
        <f>IF('入力シート（LED工事用）'!H31="","",'入力シート（LED工事用）'!H31)</f>
        <v/>
      </c>
      <c r="G6" s="39"/>
    </row>
    <row r="7" spans="1:8" ht="19.5" customHeight="1">
      <c r="A7" s="72" t="str">
        <f>IF('入力シート（LED工事用）'!B32="","",'入力シート（LED工事用）'!B32)</f>
        <v/>
      </c>
      <c r="B7" s="72" t="str">
        <f>IF('入力シート（LED工事用）'!C32="","",'入力シート（LED工事用）'!C32)</f>
        <v/>
      </c>
      <c r="C7" s="72" t="str">
        <f>IF('入力シート（LED工事用）'!D32="","",'入力シート（LED工事用）'!D32)</f>
        <v/>
      </c>
      <c r="D7" s="72" t="str">
        <f>IF('入力シート（LED工事用）'!D32="","","台")</f>
        <v/>
      </c>
      <c r="E7" s="73" t="str">
        <f>IF('入力シート（LED工事用）'!G32="","",'入力シート（LED工事用）'!G32)</f>
        <v/>
      </c>
      <c r="F7" s="73" t="str">
        <f>IF('入力シート（LED工事用）'!H32="","",'入力シート（LED工事用）'!H32)</f>
        <v/>
      </c>
      <c r="G7" s="39"/>
    </row>
    <row r="8" spans="1:8" ht="19.5" customHeight="1">
      <c r="A8" s="72" t="str">
        <f>IF('入力シート（LED工事用）'!B33="","",'入力シート（LED工事用）'!B33)</f>
        <v/>
      </c>
      <c r="B8" s="72" t="str">
        <f>IF('入力シート（LED工事用）'!C33="","",'入力シート（LED工事用）'!C33)</f>
        <v/>
      </c>
      <c r="C8" s="72" t="str">
        <f>IF('入力シート（LED工事用）'!D33="","",'入力シート（LED工事用）'!D33)</f>
        <v/>
      </c>
      <c r="D8" s="72" t="str">
        <f>IF('入力シート（LED工事用）'!D33="","","台")</f>
        <v/>
      </c>
      <c r="E8" s="73" t="str">
        <f>IF('入力シート（LED工事用）'!G33="","",'入力シート（LED工事用）'!G33)</f>
        <v/>
      </c>
      <c r="F8" s="73" t="str">
        <f>IF('入力シート（LED工事用）'!H33="","",'入力シート（LED工事用）'!H33)</f>
        <v/>
      </c>
      <c r="G8" s="39"/>
    </row>
    <row r="9" spans="1:8" ht="19.5" customHeight="1">
      <c r="A9" s="72" t="str">
        <f>IF('入力シート（LED工事用）'!B34="","",'入力シート（LED工事用）'!B34)</f>
        <v/>
      </c>
      <c r="B9" s="72" t="str">
        <f>IF('入力シート（LED工事用）'!C34="","",'入力シート（LED工事用）'!C34)</f>
        <v/>
      </c>
      <c r="C9" s="72" t="str">
        <f>IF('入力シート（LED工事用）'!D34="","",'入力シート（LED工事用）'!D34)</f>
        <v/>
      </c>
      <c r="D9" s="72" t="str">
        <f>IF('入力シート（LED工事用）'!D34="","","台")</f>
        <v/>
      </c>
      <c r="E9" s="73" t="str">
        <f>IF('入力シート（LED工事用）'!G34="","",'入力シート（LED工事用）'!G34)</f>
        <v/>
      </c>
      <c r="F9" s="73" t="str">
        <f>IF('入力シート（LED工事用）'!H34="","",'入力シート（LED工事用）'!H34)</f>
        <v/>
      </c>
      <c r="G9" s="39"/>
    </row>
    <row r="10" spans="1:8" ht="19.5" customHeight="1">
      <c r="A10" s="72" t="str">
        <f>IF('入力シート（LED工事用）'!B35="","",'入力シート（LED工事用）'!B35)</f>
        <v/>
      </c>
      <c r="B10" s="72" t="str">
        <f>IF('入力シート（LED工事用）'!C35="","",'入力シート（LED工事用）'!C35)</f>
        <v/>
      </c>
      <c r="C10" s="72" t="str">
        <f>IF('入力シート（LED工事用）'!D35="","",'入力シート（LED工事用）'!D35)</f>
        <v/>
      </c>
      <c r="D10" s="72" t="str">
        <f>IF('入力シート（LED工事用）'!D35="","","台")</f>
        <v/>
      </c>
      <c r="E10" s="73" t="str">
        <f>IF('入力シート（LED工事用）'!G35="","",'入力シート（LED工事用）'!G35)</f>
        <v/>
      </c>
      <c r="F10" s="73" t="str">
        <f>IF('入力シート（LED工事用）'!H35="","",'入力シート（LED工事用）'!H35)</f>
        <v/>
      </c>
      <c r="G10" s="39"/>
    </row>
    <row r="11" spans="1:8" ht="19.5" customHeight="1">
      <c r="A11" s="72" t="str">
        <f>IF('入力シート（LED工事用）'!B36="","",'入力シート（LED工事用）'!B36)</f>
        <v/>
      </c>
      <c r="B11" s="72" t="str">
        <f>IF('入力シート（LED工事用）'!C36="","",'入力シート（LED工事用）'!C36)</f>
        <v/>
      </c>
      <c r="C11" s="72" t="str">
        <f>IF('入力シート（LED工事用）'!D36="","",'入力シート（LED工事用）'!D36)</f>
        <v/>
      </c>
      <c r="D11" s="72" t="str">
        <f>IF('入力シート（LED工事用）'!D36="","","台")</f>
        <v/>
      </c>
      <c r="E11" s="73" t="str">
        <f>IF('入力シート（LED工事用）'!G36="","",'入力シート（LED工事用）'!G36)</f>
        <v/>
      </c>
      <c r="F11" s="73" t="str">
        <f>IF('入力シート（LED工事用）'!H36="","",'入力シート（LED工事用）'!H36)</f>
        <v/>
      </c>
      <c r="G11" s="39"/>
    </row>
    <row r="12" spans="1:8" ht="19.5" customHeight="1">
      <c r="A12" s="72" t="str">
        <f>IF('入力シート（LED工事用）'!B37="","",'入力シート（LED工事用）'!B37)</f>
        <v/>
      </c>
      <c r="B12" s="72" t="str">
        <f>IF('入力シート（LED工事用）'!C37="","",'入力シート（LED工事用）'!C37)</f>
        <v/>
      </c>
      <c r="C12" s="72" t="str">
        <f>IF('入力シート（LED工事用）'!D37="","",'入力シート（LED工事用）'!D37)</f>
        <v/>
      </c>
      <c r="D12" s="72" t="str">
        <f>IF('入力シート（LED工事用）'!D37="","","台")</f>
        <v/>
      </c>
      <c r="E12" s="73" t="str">
        <f>IF('入力シート（LED工事用）'!G37="","",'入力シート（LED工事用）'!G37)</f>
        <v/>
      </c>
      <c r="F12" s="73" t="str">
        <f>IF('入力シート（LED工事用）'!H37="","",'入力シート（LED工事用）'!H37)</f>
        <v/>
      </c>
      <c r="G12" s="39"/>
    </row>
    <row r="13" spans="1:8" ht="19.5" customHeight="1">
      <c r="A13" s="72" t="str">
        <f>IF('入力シート（LED工事用）'!B38="","",'入力シート（LED工事用）'!B38)</f>
        <v/>
      </c>
      <c r="B13" s="72" t="str">
        <f>IF('入力シート（LED工事用）'!C38="","",'入力シート（LED工事用）'!C38)</f>
        <v/>
      </c>
      <c r="C13" s="72" t="str">
        <f>IF('入力シート（LED工事用）'!D38="","",'入力シート（LED工事用）'!D38)</f>
        <v/>
      </c>
      <c r="D13" s="72" t="str">
        <f>IF('入力シート（LED工事用）'!D38="","","台")</f>
        <v/>
      </c>
      <c r="E13" s="73" t="str">
        <f>IF('入力シート（LED工事用）'!G38="","",'入力シート（LED工事用）'!G38)</f>
        <v/>
      </c>
      <c r="F13" s="73" t="str">
        <f>IF('入力シート（LED工事用）'!H38="","",'入力シート（LED工事用）'!H38)</f>
        <v/>
      </c>
      <c r="G13" s="39"/>
    </row>
    <row r="14" spans="1:8" ht="19.5" customHeight="1">
      <c r="A14" s="72" t="str">
        <f>IF('入力シート（LED工事用）'!B39="","",'入力シート（LED工事用）'!B39)</f>
        <v/>
      </c>
      <c r="B14" s="72" t="str">
        <f>IF('入力シート（LED工事用）'!C39="","",'入力シート（LED工事用）'!C39)</f>
        <v/>
      </c>
      <c r="C14" s="72" t="str">
        <f>IF('入力シート（LED工事用）'!D39="","",'入力シート（LED工事用）'!D39)</f>
        <v/>
      </c>
      <c r="D14" s="72" t="str">
        <f>IF('入力シート（LED工事用）'!D39="","","台")</f>
        <v/>
      </c>
      <c r="E14" s="73" t="str">
        <f>IF('入力シート（LED工事用）'!G39="","",'入力シート（LED工事用）'!G39)</f>
        <v/>
      </c>
      <c r="F14" s="73" t="str">
        <f>IF('入力シート（LED工事用）'!H39="","",'入力シート（LED工事用）'!H39)</f>
        <v/>
      </c>
      <c r="G14" s="39"/>
    </row>
    <row r="15" spans="1:8" ht="19.5" customHeight="1">
      <c r="A15" s="72" t="str">
        <f>IF('入力シート（LED工事用）'!B40="","",'入力シート（LED工事用）'!B40)</f>
        <v/>
      </c>
      <c r="B15" s="72" t="str">
        <f>IF('入力シート（LED工事用）'!C40="","",'入力シート（LED工事用）'!C40)</f>
        <v/>
      </c>
      <c r="C15" s="72" t="str">
        <f>IF('入力シート（LED工事用）'!D40="","",'入力シート（LED工事用）'!D40)</f>
        <v/>
      </c>
      <c r="D15" s="72" t="str">
        <f>IF('入力シート（LED工事用）'!D40="","","台")</f>
        <v/>
      </c>
      <c r="E15" s="73" t="str">
        <f>IF('入力シート（LED工事用）'!G40="","",'入力シート（LED工事用）'!G40)</f>
        <v/>
      </c>
      <c r="F15" s="73" t="str">
        <f>IF('入力シート（LED工事用）'!H40="","",'入力シート（LED工事用）'!H40)</f>
        <v/>
      </c>
      <c r="G15" s="39"/>
    </row>
    <row r="16" spans="1:8" ht="19.5" customHeight="1">
      <c r="A16" s="72" t="str">
        <f>IF('入力シート（LED工事用）'!B41="","",'入力シート（LED工事用）'!B41)</f>
        <v/>
      </c>
      <c r="B16" s="72" t="str">
        <f>IF('入力シート（LED工事用）'!C41="","",'入力シート（LED工事用）'!C41)</f>
        <v/>
      </c>
      <c r="C16" s="72" t="str">
        <f>IF('入力シート（LED工事用）'!D41="","",'入力シート（LED工事用）'!D41)</f>
        <v/>
      </c>
      <c r="D16" s="72" t="str">
        <f>IF('入力シート（LED工事用）'!D41="","","台")</f>
        <v/>
      </c>
      <c r="E16" s="73" t="str">
        <f>IF('入力シート（LED工事用）'!G41="","",'入力シート（LED工事用）'!G41)</f>
        <v/>
      </c>
      <c r="F16" s="73" t="str">
        <f>IF('入力シート（LED工事用）'!H41="","",'入力シート（LED工事用）'!H41)</f>
        <v/>
      </c>
      <c r="G16" s="39"/>
    </row>
    <row r="17" spans="1:7" ht="19.5" customHeight="1">
      <c r="A17" s="72" t="str">
        <f>IF('入力シート（LED工事用）'!B42="","",'入力シート（LED工事用）'!B42)</f>
        <v/>
      </c>
      <c r="B17" s="72" t="str">
        <f>IF('入力シート（LED工事用）'!C42="","",'入力シート（LED工事用）'!C42)</f>
        <v/>
      </c>
      <c r="C17" s="72" t="str">
        <f>IF('入力シート（LED工事用）'!D42="","",'入力シート（LED工事用）'!D42)</f>
        <v/>
      </c>
      <c r="D17" s="72" t="str">
        <f>IF('入力シート（LED工事用）'!D42="","","台")</f>
        <v/>
      </c>
      <c r="E17" s="73" t="str">
        <f>IF('入力シート（LED工事用）'!G42="","",'入力シート（LED工事用）'!G42)</f>
        <v/>
      </c>
      <c r="F17" s="73" t="str">
        <f>IF('入力シート（LED工事用）'!H42="","",'入力シート（LED工事用）'!H42)</f>
        <v/>
      </c>
      <c r="G17" s="39"/>
    </row>
    <row r="18" spans="1:7" ht="19.5" customHeight="1">
      <c r="A18" s="72" t="str">
        <f>IF('入力シート（LED工事用）'!B43="","",'入力シート（LED工事用）'!B43)</f>
        <v/>
      </c>
      <c r="B18" s="72" t="str">
        <f>IF('入力シート（LED工事用）'!C43="","",'入力シート（LED工事用）'!C43)</f>
        <v/>
      </c>
      <c r="C18" s="72" t="str">
        <f>IF('入力シート（LED工事用）'!D43="","",'入力シート（LED工事用）'!D43)</f>
        <v/>
      </c>
      <c r="D18" s="72" t="str">
        <f>IF('入力シート（LED工事用）'!D43="","","台")</f>
        <v/>
      </c>
      <c r="E18" s="73" t="str">
        <f>IF('入力シート（LED工事用）'!G43="","",'入力シート（LED工事用）'!G43)</f>
        <v/>
      </c>
      <c r="F18" s="73" t="str">
        <f>IF('入力シート（LED工事用）'!H43="","",'入力シート（LED工事用）'!H43)</f>
        <v/>
      </c>
      <c r="G18" s="39"/>
    </row>
    <row r="19" spans="1:7" ht="19.5" customHeight="1">
      <c r="A19" s="72" t="str">
        <f>IF('入力シート（LED工事用）'!B44="","",'入力シート（LED工事用）'!B44)</f>
        <v/>
      </c>
      <c r="B19" s="72" t="str">
        <f>IF('入力シート（LED工事用）'!C44="","",'入力シート（LED工事用）'!C44)</f>
        <v/>
      </c>
      <c r="C19" s="72" t="str">
        <f>IF('入力シート（LED工事用）'!D44="","",'入力シート（LED工事用）'!D44)</f>
        <v/>
      </c>
      <c r="D19" s="72" t="str">
        <f>IF('入力シート（LED工事用）'!D44="","","台")</f>
        <v/>
      </c>
      <c r="E19" s="73" t="str">
        <f>IF('入力シート（LED工事用）'!G44="","",'入力シート（LED工事用）'!G44)</f>
        <v/>
      </c>
      <c r="F19" s="73" t="str">
        <f>IF('入力シート（LED工事用）'!H44="","",'入力シート（LED工事用）'!H44)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102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IF('入力シート（LED工事用）'!B45="","",'入力シート（LED工事用）'!B45)</f>
        <v/>
      </c>
      <c r="B5" s="72" t="str">
        <f>IF('入力シート（LED工事用）'!C45="","",'入力シート（LED工事用）'!C45)</f>
        <v/>
      </c>
      <c r="C5" s="72" t="str">
        <f>IF('入力シート（LED工事用）'!D45="","",'入力シート（LED工事用）'!D45)</f>
        <v/>
      </c>
      <c r="D5" s="72" t="str">
        <f>IF('入力シート（LED工事用）'!D45="","","台")</f>
        <v/>
      </c>
      <c r="E5" s="73" t="str">
        <f>IF('入力シート（LED工事用）'!G45="","",'入力シート（LED工事用）'!G45)</f>
        <v/>
      </c>
      <c r="F5" s="73" t="str">
        <f>IF('入力シート（LED工事用）'!H45="","",'入力シート（LED工事用）'!H45)</f>
        <v/>
      </c>
      <c r="G5" s="39"/>
    </row>
    <row r="6" spans="1:8" ht="19.5" customHeight="1">
      <c r="A6" s="72" t="str">
        <f>IF('入力シート（LED工事用）'!B46="","",'入力シート（LED工事用）'!B46)</f>
        <v/>
      </c>
      <c r="B6" s="72" t="str">
        <f>IF('入力シート（LED工事用）'!C46="","",'入力シート（LED工事用）'!C46)</f>
        <v/>
      </c>
      <c r="C6" s="72" t="str">
        <f>IF('入力シート（LED工事用）'!D46="","",'入力シート（LED工事用）'!D46)</f>
        <v/>
      </c>
      <c r="D6" s="72" t="str">
        <f>IF('入力シート（LED工事用）'!D46="","","台")</f>
        <v/>
      </c>
      <c r="E6" s="73" t="str">
        <f>IF('入力シート（LED工事用）'!G46="","",'入力シート（LED工事用）'!G46)</f>
        <v/>
      </c>
      <c r="F6" s="73" t="str">
        <f>IF('入力シート（LED工事用）'!H46="","",'入力シート（LED工事用）'!H46)</f>
        <v/>
      </c>
      <c r="G6" s="39"/>
    </row>
    <row r="7" spans="1:8" ht="19.5" customHeight="1">
      <c r="A7" s="72" t="str">
        <f>IF('入力シート（LED工事用）'!B47="","",'入力シート（LED工事用）'!B47)</f>
        <v/>
      </c>
      <c r="B7" s="72" t="str">
        <f>IF('入力シート（LED工事用）'!C47="","",'入力シート（LED工事用）'!C47)</f>
        <v/>
      </c>
      <c r="C7" s="72" t="str">
        <f>IF('入力シート（LED工事用）'!D47="","",'入力シート（LED工事用）'!D47)</f>
        <v/>
      </c>
      <c r="D7" s="72" t="str">
        <f>IF('入力シート（LED工事用）'!D47="","","台")</f>
        <v/>
      </c>
      <c r="E7" s="73" t="str">
        <f>IF('入力シート（LED工事用）'!G47="","",'入力シート（LED工事用）'!G47)</f>
        <v/>
      </c>
      <c r="F7" s="73" t="str">
        <f>IF('入力シート（LED工事用）'!H47="","",'入力シート（LED工事用）'!H47)</f>
        <v/>
      </c>
      <c r="G7" s="39"/>
    </row>
    <row r="8" spans="1:8" ht="19.5" customHeight="1">
      <c r="A8" s="72" t="str">
        <f>IF('入力シート（LED工事用）'!B48="","",'入力シート（LED工事用）'!B48)</f>
        <v/>
      </c>
      <c r="B8" s="72" t="str">
        <f>IF('入力シート（LED工事用）'!C48="","",'入力シート（LED工事用）'!C48)</f>
        <v/>
      </c>
      <c r="C8" s="72" t="str">
        <f>IF('入力シート（LED工事用）'!D48="","",'入力シート（LED工事用）'!D48)</f>
        <v/>
      </c>
      <c r="D8" s="72" t="str">
        <f>IF('入力シート（LED工事用）'!D48="","","台")</f>
        <v/>
      </c>
      <c r="E8" s="73" t="str">
        <f>IF('入力シート（LED工事用）'!G48="","",'入力シート（LED工事用）'!G48)</f>
        <v/>
      </c>
      <c r="F8" s="73" t="str">
        <f>IF('入力シート（LED工事用）'!H48="","",'入力シート（LED工事用）'!H48)</f>
        <v/>
      </c>
      <c r="G8" s="39"/>
    </row>
    <row r="9" spans="1:8" ht="19.5" customHeight="1">
      <c r="A9" s="72" t="str">
        <f>IF('入力シート（LED工事用）'!B49="","",'入力シート（LED工事用）'!B49)</f>
        <v/>
      </c>
      <c r="B9" s="72" t="str">
        <f>IF('入力シート（LED工事用）'!C49="","",'入力シート（LED工事用）'!C49)</f>
        <v/>
      </c>
      <c r="C9" s="72" t="str">
        <f>IF('入力シート（LED工事用）'!D49="","",'入力シート（LED工事用）'!D49)</f>
        <v/>
      </c>
      <c r="D9" s="72" t="str">
        <f>IF('入力シート（LED工事用）'!D49="","","台")</f>
        <v/>
      </c>
      <c r="E9" s="73" t="str">
        <f>IF('入力シート（LED工事用）'!G49="","",'入力シート（LED工事用）'!G49)</f>
        <v/>
      </c>
      <c r="F9" s="73" t="str">
        <f>IF('入力シート（LED工事用）'!H49="","",'入力シート（LED工事用）'!H49)</f>
        <v/>
      </c>
      <c r="G9" s="39"/>
    </row>
    <row r="10" spans="1:8" ht="19.5" customHeight="1">
      <c r="A10" s="72" t="str">
        <f>IF('入力シート（LED工事用）'!B50="","",'入力シート（LED工事用）'!B50)</f>
        <v/>
      </c>
      <c r="B10" s="72" t="str">
        <f>IF('入力シート（LED工事用）'!C50="","",'入力シート（LED工事用）'!C50)</f>
        <v/>
      </c>
      <c r="C10" s="72" t="str">
        <f>IF('入力シート（LED工事用）'!D50="","",'入力シート（LED工事用）'!D50)</f>
        <v/>
      </c>
      <c r="D10" s="72" t="str">
        <f>IF('入力シート（LED工事用）'!D50="","","台")</f>
        <v/>
      </c>
      <c r="E10" s="73" t="str">
        <f>IF('入力シート（LED工事用）'!G50="","",'入力シート（LED工事用）'!G50)</f>
        <v/>
      </c>
      <c r="F10" s="73" t="str">
        <f>IF('入力シート（LED工事用）'!H50="","",'入力シート（LED工事用）'!H50)</f>
        <v/>
      </c>
      <c r="G10" s="39"/>
    </row>
    <row r="11" spans="1:8" ht="19.5" customHeight="1">
      <c r="A11" s="72" t="str">
        <f>IF('入力シート（LED工事用）'!B51="","",'入力シート（LED工事用）'!B51)</f>
        <v/>
      </c>
      <c r="B11" s="72" t="str">
        <f>IF('入力シート（LED工事用）'!C51="","",'入力シート（LED工事用）'!C51)</f>
        <v/>
      </c>
      <c r="C11" s="72" t="str">
        <f>IF('入力シート（LED工事用）'!D51="","",'入力シート（LED工事用）'!D51)</f>
        <v/>
      </c>
      <c r="D11" s="72" t="str">
        <f>IF('入力シート（LED工事用）'!D51="","","台")</f>
        <v/>
      </c>
      <c r="E11" s="73" t="str">
        <f>IF('入力シート（LED工事用）'!G51="","",'入力シート（LED工事用）'!G51)</f>
        <v/>
      </c>
      <c r="F11" s="73" t="str">
        <f>IF('入力シート（LED工事用）'!H51="","",'入力シート（LED工事用）'!H51)</f>
        <v/>
      </c>
      <c r="G11" s="39"/>
    </row>
    <row r="12" spans="1:8" ht="19.5" customHeight="1">
      <c r="A12" s="72" t="str">
        <f>IF('入力シート（LED工事用）'!B52="","",'入力シート（LED工事用）'!B52)</f>
        <v/>
      </c>
      <c r="B12" s="72" t="str">
        <f>IF('入力シート（LED工事用）'!C52="","",'入力シート（LED工事用）'!C52)</f>
        <v/>
      </c>
      <c r="C12" s="72" t="str">
        <f>IF('入力シート（LED工事用）'!D52="","",'入力シート（LED工事用）'!D52)</f>
        <v/>
      </c>
      <c r="D12" s="72" t="str">
        <f>IF('入力シート（LED工事用）'!D52="","","台")</f>
        <v/>
      </c>
      <c r="E12" s="73" t="str">
        <f>IF('入力シート（LED工事用）'!G52="","",'入力シート（LED工事用）'!G52)</f>
        <v/>
      </c>
      <c r="F12" s="73" t="str">
        <f>IF('入力シート（LED工事用）'!H52="","",'入力シート（LED工事用）'!H52)</f>
        <v/>
      </c>
      <c r="G12" s="39"/>
    </row>
    <row r="13" spans="1:8" ht="19.5" customHeight="1">
      <c r="A13" s="72" t="str">
        <f>IF('入力シート（LED工事用）'!B53="","",'入力シート（LED工事用）'!B53)</f>
        <v/>
      </c>
      <c r="B13" s="72" t="str">
        <f>IF('入力シート（LED工事用）'!C53="","",'入力シート（LED工事用）'!C53)</f>
        <v/>
      </c>
      <c r="C13" s="72" t="str">
        <f>IF('入力シート（LED工事用）'!D53="","",'入力シート（LED工事用）'!D53)</f>
        <v/>
      </c>
      <c r="D13" s="72" t="str">
        <f>IF('入力シート（LED工事用）'!D53="","","台")</f>
        <v/>
      </c>
      <c r="E13" s="73" t="str">
        <f>IF('入力シート（LED工事用）'!G53="","",'入力シート（LED工事用）'!G53)</f>
        <v/>
      </c>
      <c r="F13" s="73" t="str">
        <f>IF('入力シート（LED工事用）'!H53="","",'入力シート（LED工事用）'!H53)</f>
        <v/>
      </c>
      <c r="G13" s="39"/>
    </row>
    <row r="14" spans="1:8" ht="19.5" customHeight="1">
      <c r="A14" s="72" t="str">
        <f>IF('入力シート（LED工事用）'!B54="","",'入力シート（LED工事用）'!B54)</f>
        <v/>
      </c>
      <c r="B14" s="72" t="str">
        <f>IF('入力シート（LED工事用）'!C54="","",'入力シート（LED工事用）'!C54)</f>
        <v/>
      </c>
      <c r="C14" s="72" t="str">
        <f>IF('入力シート（LED工事用）'!D54="","",'入力シート（LED工事用）'!D54)</f>
        <v/>
      </c>
      <c r="D14" s="72" t="str">
        <f>IF('入力シート（LED工事用）'!D54="","","台")</f>
        <v/>
      </c>
      <c r="E14" s="73" t="str">
        <f>IF('入力シート（LED工事用）'!G54="","",'入力シート（LED工事用）'!G54)</f>
        <v/>
      </c>
      <c r="F14" s="73" t="str">
        <f>IF('入力シート（LED工事用）'!H54="","",'入力シート（LED工事用）'!H54)</f>
        <v/>
      </c>
      <c r="G14" s="39"/>
    </row>
    <row r="15" spans="1:8" ht="19.5" customHeight="1">
      <c r="A15" s="72" t="str">
        <f>IF('入力シート（LED工事用）'!B55="","",'入力シート（LED工事用）'!B55)</f>
        <v/>
      </c>
      <c r="B15" s="72" t="str">
        <f>IF('入力シート（LED工事用）'!C55="","",'入力シート（LED工事用）'!C55)</f>
        <v/>
      </c>
      <c r="C15" s="72" t="str">
        <f>IF('入力シート（LED工事用）'!D55="","",'入力シート（LED工事用）'!D55)</f>
        <v/>
      </c>
      <c r="D15" s="72" t="str">
        <f>IF('入力シート（LED工事用）'!D55="","","台")</f>
        <v/>
      </c>
      <c r="E15" s="73" t="str">
        <f>IF('入力シート（LED工事用）'!G55="","",'入力シート（LED工事用）'!G55)</f>
        <v/>
      </c>
      <c r="F15" s="73" t="str">
        <f>IF('入力シート（LED工事用）'!H55="","",'入力シート（LED工事用）'!H55)</f>
        <v/>
      </c>
      <c r="G15" s="39"/>
    </row>
    <row r="16" spans="1:8" ht="19.5" customHeight="1">
      <c r="A16" s="72" t="str">
        <f>IF('入力シート（LED工事用）'!B56="","",'入力シート（LED工事用）'!B56)</f>
        <v/>
      </c>
      <c r="B16" s="72" t="str">
        <f>IF('入力シート（LED工事用）'!C56="","",'入力シート（LED工事用）'!C56)</f>
        <v/>
      </c>
      <c r="C16" s="72" t="str">
        <f>IF('入力シート（LED工事用）'!D56="","",'入力シート（LED工事用）'!D56)</f>
        <v/>
      </c>
      <c r="D16" s="72" t="str">
        <f>IF('入力シート（LED工事用）'!D56="","","台")</f>
        <v/>
      </c>
      <c r="E16" s="73" t="str">
        <f>IF('入力シート（LED工事用）'!G56="","",'入力シート（LED工事用）'!G56)</f>
        <v/>
      </c>
      <c r="F16" s="73" t="str">
        <f>IF('入力シート（LED工事用）'!H56="","",'入力シート（LED工事用）'!H56)</f>
        <v/>
      </c>
      <c r="G16" s="39"/>
    </row>
    <row r="17" spans="1:7" ht="19.5" customHeight="1">
      <c r="A17" s="72" t="str">
        <f>IF('入力シート（LED工事用）'!B57="","",'入力シート（LED工事用）'!B57)</f>
        <v/>
      </c>
      <c r="B17" s="72" t="str">
        <f>IF('入力シート（LED工事用）'!C57="","",'入力シート（LED工事用）'!C57)</f>
        <v/>
      </c>
      <c r="C17" s="72" t="str">
        <f>IF('入力シート（LED工事用）'!D57="","",'入力シート（LED工事用）'!D57)</f>
        <v/>
      </c>
      <c r="D17" s="72" t="str">
        <f>IF('入力シート（LED工事用）'!D57="","","台")</f>
        <v/>
      </c>
      <c r="E17" s="73" t="str">
        <f>IF('入力シート（LED工事用）'!G57="","",'入力シート（LED工事用）'!G57)</f>
        <v/>
      </c>
      <c r="F17" s="73" t="str">
        <f>IF('入力シート（LED工事用）'!H57="","",'入力シート（LED工事用）'!H57)</f>
        <v/>
      </c>
      <c r="G17" s="39"/>
    </row>
    <row r="18" spans="1:7" ht="19.5" customHeight="1">
      <c r="A18" s="72" t="str">
        <f>IF('入力シート（LED工事用）'!B58="","",'入力シート（LED工事用）'!B58)</f>
        <v/>
      </c>
      <c r="B18" s="72" t="str">
        <f>IF('入力シート（LED工事用）'!C58="","",'入力シート（LED工事用）'!C58)</f>
        <v/>
      </c>
      <c r="C18" s="72" t="str">
        <f>IF('入力シート（LED工事用）'!D58="","",'入力シート（LED工事用）'!D58)</f>
        <v/>
      </c>
      <c r="D18" s="72" t="str">
        <f>IF('入力シート（LED工事用）'!D58="","","台")</f>
        <v/>
      </c>
      <c r="E18" s="73" t="str">
        <f>IF('入力シート（LED工事用）'!G58="","",'入力シート（LED工事用）'!G58)</f>
        <v/>
      </c>
      <c r="F18" s="73" t="str">
        <f>IF('入力シート（LED工事用）'!H58="","",'入力シート（LED工事用）'!H58)</f>
        <v/>
      </c>
      <c r="G18" s="39"/>
    </row>
    <row r="19" spans="1:7" ht="19.5" customHeight="1">
      <c r="A19" s="72" t="str">
        <f>IF('入力シート（LED工事用）'!B59="","",'入力シート（LED工事用）'!B59)</f>
        <v/>
      </c>
      <c r="B19" s="72" t="str">
        <f>IF('入力シート（LED工事用）'!C59="","",'入力シート（LED工事用）'!C59)</f>
        <v/>
      </c>
      <c r="C19" s="72" t="str">
        <f>IF('入力シート（LED工事用）'!D59="","",'入力シート（LED工事用）'!D59)</f>
        <v/>
      </c>
      <c r="D19" s="72" t="str">
        <f>IF('入力シート（LED工事用）'!D59="","","台")</f>
        <v/>
      </c>
      <c r="E19" s="73" t="str">
        <f>IF('入力シート（LED工事用）'!G59="","",'入力シート（LED工事用）'!G59)</f>
        <v/>
      </c>
      <c r="F19" s="73" t="str">
        <f>IF('入力シート（LED工事用）'!H59="","",'入力シート（LED工事用）'!H59)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103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IF('入力シート（LED工事用）'!B60="","",'入力シート（LED工事用）'!B60)</f>
        <v/>
      </c>
      <c r="B5" s="72" t="str">
        <f>IF('入力シート（LED工事用）'!C60="","",'入力シート（LED工事用）'!C60)</f>
        <v/>
      </c>
      <c r="C5" s="72" t="str">
        <f>IF('入力シート（LED工事用）'!D60="","",'入力シート（LED工事用）'!D60)</f>
        <v/>
      </c>
      <c r="D5" s="72" t="str">
        <f>IF('入力シート（LED工事用）'!D60="","","台")</f>
        <v/>
      </c>
      <c r="E5" s="73" t="str">
        <f>IF('入力シート（LED工事用）'!G60="","",'入力シート（LED工事用）'!G60)</f>
        <v/>
      </c>
      <c r="F5" s="73" t="str">
        <f>IF('入力シート（LED工事用）'!H60="","",'入力シート（LED工事用）'!H60)</f>
        <v/>
      </c>
      <c r="G5" s="39"/>
    </row>
    <row r="6" spans="1:8" ht="19.5" customHeight="1">
      <c r="A6" s="72" t="str">
        <f>IF('入力シート（LED工事用）'!B61="","",'入力シート（LED工事用）'!B61)</f>
        <v/>
      </c>
      <c r="B6" s="72" t="str">
        <f>IF('入力シート（LED工事用）'!C61="","",'入力シート（LED工事用）'!C61)</f>
        <v/>
      </c>
      <c r="C6" s="72" t="str">
        <f>IF('入力シート（LED工事用）'!D61="","",'入力シート（LED工事用）'!D61)</f>
        <v/>
      </c>
      <c r="D6" s="72" t="str">
        <f>IF('入力シート（LED工事用）'!D61="","","台")</f>
        <v/>
      </c>
      <c r="E6" s="73" t="str">
        <f>IF('入力シート（LED工事用）'!G61="","",'入力シート（LED工事用）'!G61)</f>
        <v/>
      </c>
      <c r="F6" s="73" t="str">
        <f>IF('入力シート（LED工事用）'!H61="","",'入力シート（LED工事用）'!H61)</f>
        <v/>
      </c>
      <c r="G6" s="39"/>
    </row>
    <row r="7" spans="1:8" ht="19.5" customHeight="1">
      <c r="A7" s="72" t="str">
        <f>IF('入力シート（LED工事用）'!B62="","",'入力シート（LED工事用）'!B62)</f>
        <v/>
      </c>
      <c r="B7" s="72" t="str">
        <f>IF('入力シート（LED工事用）'!C62="","",'入力シート（LED工事用）'!C62)</f>
        <v/>
      </c>
      <c r="C7" s="72" t="str">
        <f>IF('入力シート（LED工事用）'!D62="","",'入力シート（LED工事用）'!D62)</f>
        <v/>
      </c>
      <c r="D7" s="72" t="str">
        <f>IF('入力シート（LED工事用）'!D62="","","台")</f>
        <v/>
      </c>
      <c r="E7" s="73" t="str">
        <f>IF('入力シート（LED工事用）'!G62="","",'入力シート（LED工事用）'!G62)</f>
        <v/>
      </c>
      <c r="F7" s="73" t="str">
        <f>IF('入力シート（LED工事用）'!H62="","",'入力シート（LED工事用）'!H62)</f>
        <v/>
      </c>
      <c r="G7" s="39"/>
    </row>
    <row r="8" spans="1:8" ht="19.5" customHeight="1">
      <c r="A8" s="72" t="str">
        <f>IF('入力シート（LED工事用）'!B63="","",'入力シート（LED工事用）'!B63)</f>
        <v/>
      </c>
      <c r="B8" s="72" t="str">
        <f>IF('入力シート（LED工事用）'!C63="","",'入力シート（LED工事用）'!C63)</f>
        <v/>
      </c>
      <c r="C8" s="72" t="str">
        <f>IF('入力シート（LED工事用）'!D63="","",'入力シート（LED工事用）'!D63)</f>
        <v/>
      </c>
      <c r="D8" s="72" t="str">
        <f>IF('入力シート（LED工事用）'!D63="","","台")</f>
        <v/>
      </c>
      <c r="E8" s="73" t="str">
        <f>IF('入力シート（LED工事用）'!G63="","",'入力シート（LED工事用）'!G63)</f>
        <v/>
      </c>
      <c r="F8" s="73" t="str">
        <f>IF('入力シート（LED工事用）'!H63="","",'入力シート（LED工事用）'!H63)</f>
        <v/>
      </c>
      <c r="G8" s="39"/>
    </row>
    <row r="9" spans="1:8" ht="19.5" customHeight="1">
      <c r="A9" s="72" t="str">
        <f>IF('入力シート（LED工事用）'!B64="","",'入力シート（LED工事用）'!B64)</f>
        <v/>
      </c>
      <c r="B9" s="72" t="str">
        <f>IF('入力シート（LED工事用）'!C64="","",'入力シート（LED工事用）'!C64)</f>
        <v/>
      </c>
      <c r="C9" s="72" t="str">
        <f>IF('入力シート（LED工事用）'!D64="","",'入力シート（LED工事用）'!D64)</f>
        <v/>
      </c>
      <c r="D9" s="72" t="str">
        <f>IF('入力シート（LED工事用）'!D64="","","台")</f>
        <v/>
      </c>
      <c r="E9" s="73" t="str">
        <f>IF('入力シート（LED工事用）'!G64="","",'入力シート（LED工事用）'!G64)</f>
        <v/>
      </c>
      <c r="F9" s="73" t="str">
        <f>IF('入力シート（LED工事用）'!H64="","",'入力シート（LED工事用）'!H64)</f>
        <v/>
      </c>
      <c r="G9" s="39"/>
    </row>
    <row r="10" spans="1:8" ht="19.5" customHeight="1">
      <c r="A10" s="72" t="str">
        <f>IF('入力シート（LED工事用）'!B65="","",'入力シート（LED工事用）'!B65)</f>
        <v/>
      </c>
      <c r="B10" s="72" t="str">
        <f>IF('入力シート（LED工事用）'!C65="","",'入力シート（LED工事用）'!C65)</f>
        <v/>
      </c>
      <c r="C10" s="72" t="str">
        <f>IF('入力シート（LED工事用）'!D65="","",'入力シート（LED工事用）'!D65)</f>
        <v/>
      </c>
      <c r="D10" s="72" t="str">
        <f>IF('入力シート（LED工事用）'!D65="","","台")</f>
        <v/>
      </c>
      <c r="E10" s="73" t="str">
        <f>IF('入力シート（LED工事用）'!G65="","",'入力シート（LED工事用）'!G65)</f>
        <v/>
      </c>
      <c r="F10" s="73" t="str">
        <f>IF('入力シート（LED工事用）'!H65="","",'入力シート（LED工事用）'!H65)</f>
        <v/>
      </c>
      <c r="G10" s="39"/>
    </row>
    <row r="11" spans="1:8" ht="19.5" customHeight="1">
      <c r="A11" s="72" t="str">
        <f>IF('入力シート（LED工事用）'!B66="","",'入力シート（LED工事用）'!B66)</f>
        <v/>
      </c>
      <c r="B11" s="72" t="str">
        <f>IF('入力シート（LED工事用）'!C66="","",'入力シート（LED工事用）'!C66)</f>
        <v/>
      </c>
      <c r="C11" s="72" t="str">
        <f>IF('入力シート（LED工事用）'!D66="","",'入力シート（LED工事用）'!D66)</f>
        <v/>
      </c>
      <c r="D11" s="72" t="str">
        <f>IF('入力シート（LED工事用）'!D66="","","台")</f>
        <v/>
      </c>
      <c r="E11" s="73" t="str">
        <f>IF('入力シート（LED工事用）'!G66="","",'入力シート（LED工事用）'!G66)</f>
        <v/>
      </c>
      <c r="F11" s="73" t="str">
        <f>IF('入力シート（LED工事用）'!H66="","",'入力シート（LED工事用）'!H66)</f>
        <v/>
      </c>
      <c r="G11" s="39"/>
    </row>
    <row r="12" spans="1:8" ht="19.5" customHeight="1">
      <c r="A12" s="72" t="str">
        <f>IF('入力シート（LED工事用）'!B67="","",'入力シート（LED工事用）'!B67)</f>
        <v/>
      </c>
      <c r="B12" s="72" t="str">
        <f>IF('入力シート（LED工事用）'!C67="","",'入力シート（LED工事用）'!C67)</f>
        <v/>
      </c>
      <c r="C12" s="72" t="str">
        <f>IF('入力シート（LED工事用）'!D67="","",'入力シート（LED工事用）'!D67)</f>
        <v/>
      </c>
      <c r="D12" s="72" t="str">
        <f>IF('入力シート（LED工事用）'!D67="","","台")</f>
        <v/>
      </c>
      <c r="E12" s="73" t="str">
        <f>IF('入力シート（LED工事用）'!G67="","",'入力シート（LED工事用）'!G67)</f>
        <v/>
      </c>
      <c r="F12" s="73" t="str">
        <f>IF('入力シート（LED工事用）'!H67="","",'入力シート（LED工事用）'!H67)</f>
        <v/>
      </c>
      <c r="G12" s="39"/>
    </row>
    <row r="13" spans="1:8" ht="19.5" customHeight="1">
      <c r="A13" s="72" t="str">
        <f>IF('入力シート（LED工事用）'!B68="","",'入力シート（LED工事用）'!B68)</f>
        <v/>
      </c>
      <c r="B13" s="72" t="str">
        <f>IF('入力シート（LED工事用）'!C68="","",'入力シート（LED工事用）'!C68)</f>
        <v/>
      </c>
      <c r="C13" s="72" t="str">
        <f>IF('入力シート（LED工事用）'!D68="","",'入力シート（LED工事用）'!D68)</f>
        <v/>
      </c>
      <c r="D13" s="72" t="str">
        <f>IF('入力シート（LED工事用）'!D68="","","台")</f>
        <v/>
      </c>
      <c r="E13" s="73" t="str">
        <f>IF('入力シート（LED工事用）'!G68="","",'入力シート（LED工事用）'!G68)</f>
        <v/>
      </c>
      <c r="F13" s="73" t="str">
        <f>IF('入力シート（LED工事用）'!H68="","",'入力シート（LED工事用）'!H68)</f>
        <v/>
      </c>
      <c r="G13" s="39"/>
    </row>
    <row r="14" spans="1:8" ht="19.5" customHeight="1">
      <c r="A14" s="72" t="str">
        <f>IF('入力シート（LED工事用）'!B69="","",'入力シート（LED工事用）'!B69)</f>
        <v/>
      </c>
      <c r="B14" s="72" t="str">
        <f>IF('入力シート（LED工事用）'!C69="","",'入力シート（LED工事用）'!C69)</f>
        <v/>
      </c>
      <c r="C14" s="72" t="str">
        <f>IF('入力シート（LED工事用）'!D69="","",'入力シート（LED工事用）'!D69)</f>
        <v/>
      </c>
      <c r="D14" s="72" t="str">
        <f>IF('入力シート（LED工事用）'!D69="","","台")</f>
        <v/>
      </c>
      <c r="E14" s="73" t="str">
        <f>IF('入力シート（LED工事用）'!G69="","",'入力シート（LED工事用）'!G69)</f>
        <v/>
      </c>
      <c r="F14" s="73" t="str">
        <f>IF('入力シート（LED工事用）'!H69="","",'入力シート（LED工事用）'!H69)</f>
        <v/>
      </c>
      <c r="G14" s="39"/>
    </row>
    <row r="15" spans="1:8" ht="19.5" customHeight="1">
      <c r="A15" s="72" t="str">
        <f>IF('入力シート（LED工事用）'!B70="","",'入力シート（LED工事用）'!B70)</f>
        <v/>
      </c>
      <c r="B15" s="72" t="str">
        <f>IF('入力シート（LED工事用）'!C70="","",'入力シート（LED工事用）'!C70)</f>
        <v/>
      </c>
      <c r="C15" s="72" t="str">
        <f>IF('入力シート（LED工事用）'!D70="","",'入力シート（LED工事用）'!D70)</f>
        <v/>
      </c>
      <c r="D15" s="72" t="str">
        <f>IF('入力シート（LED工事用）'!D70="","","台")</f>
        <v/>
      </c>
      <c r="E15" s="73" t="str">
        <f>IF('入力シート（LED工事用）'!G70="","",'入力シート（LED工事用）'!G70)</f>
        <v/>
      </c>
      <c r="F15" s="73" t="str">
        <f>IF('入力シート（LED工事用）'!H70="","",'入力シート（LED工事用）'!H70)</f>
        <v/>
      </c>
      <c r="G15" s="39"/>
    </row>
    <row r="16" spans="1:8" ht="19.5" customHeight="1">
      <c r="A16" s="72" t="str">
        <f>IF('入力シート（LED工事用）'!B71="","",'入力シート（LED工事用）'!B71)</f>
        <v/>
      </c>
      <c r="B16" s="72" t="str">
        <f>IF('入力シート（LED工事用）'!C71="","",'入力シート（LED工事用）'!C71)</f>
        <v/>
      </c>
      <c r="C16" s="72" t="str">
        <f>IF('入力シート（LED工事用）'!D71="","",'入力シート（LED工事用）'!D71)</f>
        <v/>
      </c>
      <c r="D16" s="72" t="str">
        <f>IF('入力シート（LED工事用）'!D71="","","台")</f>
        <v/>
      </c>
      <c r="E16" s="73" t="str">
        <f>IF('入力シート（LED工事用）'!G71="","",'入力シート（LED工事用）'!G71)</f>
        <v/>
      </c>
      <c r="F16" s="73" t="str">
        <f>IF('入力シート（LED工事用）'!H71="","",'入力シート（LED工事用）'!H71)</f>
        <v/>
      </c>
      <c r="G16" s="39"/>
    </row>
    <row r="17" spans="1:7" ht="19.5" customHeight="1">
      <c r="A17" s="72" t="str">
        <f>IF('入力シート（LED工事用）'!B72="","",'入力シート（LED工事用）'!B72)</f>
        <v/>
      </c>
      <c r="B17" s="72" t="str">
        <f>IF('入力シート（LED工事用）'!C72="","",'入力シート（LED工事用）'!C72)</f>
        <v/>
      </c>
      <c r="C17" s="72" t="str">
        <f>IF('入力シート（LED工事用）'!D72="","",'入力シート（LED工事用）'!D72)</f>
        <v/>
      </c>
      <c r="D17" s="72" t="str">
        <f>IF('入力シート（LED工事用）'!D72="","","台")</f>
        <v/>
      </c>
      <c r="E17" s="73" t="str">
        <f>IF('入力シート（LED工事用）'!G72="","",'入力シート（LED工事用）'!G72)</f>
        <v/>
      </c>
      <c r="F17" s="73" t="str">
        <f>IF('入力シート（LED工事用）'!H72="","",'入力シート（LED工事用）'!H72)</f>
        <v/>
      </c>
      <c r="G17" s="39"/>
    </row>
    <row r="18" spans="1:7" ht="19.5" customHeight="1">
      <c r="A18" s="72" t="str">
        <f>IF('入力シート（LED工事用）'!B73="","",'入力シート（LED工事用）'!B73)</f>
        <v/>
      </c>
      <c r="B18" s="72" t="str">
        <f>IF('入力シート（LED工事用）'!C73="","",'入力シート（LED工事用）'!C73)</f>
        <v/>
      </c>
      <c r="C18" s="72" t="str">
        <f>IF('入力シート（LED工事用）'!D73="","",'入力シート（LED工事用）'!D73)</f>
        <v/>
      </c>
      <c r="D18" s="72" t="str">
        <f>IF('入力シート（LED工事用）'!D73="","","台")</f>
        <v/>
      </c>
      <c r="E18" s="73" t="str">
        <f>IF('入力シート（LED工事用）'!G73="","",'入力シート（LED工事用）'!G73)</f>
        <v/>
      </c>
      <c r="F18" s="73" t="str">
        <f>IF('入力シート（LED工事用）'!H73="","",'入力シート（LED工事用）'!H73)</f>
        <v/>
      </c>
      <c r="G18" s="39"/>
    </row>
    <row r="19" spans="1:7" ht="19.5" customHeight="1">
      <c r="A19" s="72" t="str">
        <f>IF('入力シート（LED工事用）'!B74="","",'入力シート（LED工事用）'!B74)</f>
        <v/>
      </c>
      <c r="B19" s="72" t="str">
        <f>IF('入力シート（LED工事用）'!C74="","",'入力シート（LED工事用）'!C74)</f>
        <v/>
      </c>
      <c r="C19" s="72" t="str">
        <f>IF('入力シート（LED工事用）'!D74="","",'入力シート（LED工事用）'!D74)</f>
        <v/>
      </c>
      <c r="D19" s="72" t="str">
        <f>IF('入力シート（LED工事用）'!D74="","","台")</f>
        <v/>
      </c>
      <c r="E19" s="73" t="str">
        <f>IF('入力シート（LED工事用）'!G74="","",'入力シート（LED工事用）'!G74)</f>
        <v/>
      </c>
      <c r="F19" s="73" t="str">
        <f>IF('入力シート（LED工事用）'!H74="","",'入力シート（LED工事用）'!H74)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104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IF('入力シート（LED工事用）'!B75="","",'入力シート（LED工事用）'!B75)</f>
        <v/>
      </c>
      <c r="B5" s="72" t="str">
        <f>IF('入力シート（LED工事用）'!C75="","",'入力シート（LED工事用）'!C75)</f>
        <v/>
      </c>
      <c r="C5" s="72" t="str">
        <f>IF('入力シート（LED工事用）'!D75="","",'入力シート（LED工事用）'!D75)</f>
        <v/>
      </c>
      <c r="D5" s="72" t="str">
        <f>IF('入力シート（LED工事用）'!D75="","","台")</f>
        <v/>
      </c>
      <c r="E5" s="73" t="str">
        <f>IF('入力シート（LED工事用）'!G75="","",'入力シート（LED工事用）'!G75)</f>
        <v/>
      </c>
      <c r="F5" s="73" t="str">
        <f>IF('入力シート（LED工事用）'!H75="","",'入力シート（LED工事用）'!H75)</f>
        <v/>
      </c>
      <c r="G5" s="39"/>
    </row>
    <row r="6" spans="1:8" ht="19.5" customHeight="1">
      <c r="A6" s="72" t="str">
        <f>IF('入力シート（LED工事用）'!B76="","",'入力シート（LED工事用）'!B76)</f>
        <v/>
      </c>
      <c r="B6" s="72" t="str">
        <f>IF('入力シート（LED工事用）'!C76="","",'入力シート（LED工事用）'!C76)</f>
        <v/>
      </c>
      <c r="C6" s="72" t="str">
        <f>IF('入力シート（LED工事用）'!D76="","",'入力シート（LED工事用）'!D76)</f>
        <v/>
      </c>
      <c r="D6" s="72" t="str">
        <f>IF('入力シート（LED工事用）'!D76="","","台")</f>
        <v/>
      </c>
      <c r="E6" s="73" t="str">
        <f>IF('入力シート（LED工事用）'!G76="","",'入力シート（LED工事用）'!G76)</f>
        <v/>
      </c>
      <c r="F6" s="73" t="str">
        <f>IF('入力シート（LED工事用）'!H76="","",'入力シート（LED工事用）'!H76)</f>
        <v/>
      </c>
      <c r="G6" s="39"/>
    </row>
    <row r="7" spans="1:8" ht="19.5" customHeight="1">
      <c r="A7" s="72" t="str">
        <f>IF('入力シート（LED工事用）'!B77="","",'入力シート（LED工事用）'!B77)</f>
        <v/>
      </c>
      <c r="B7" s="72" t="str">
        <f>IF('入力シート（LED工事用）'!C77="","",'入力シート（LED工事用）'!C77)</f>
        <v/>
      </c>
      <c r="C7" s="72" t="str">
        <f>IF('入力シート（LED工事用）'!D77="","",'入力シート（LED工事用）'!D77)</f>
        <v/>
      </c>
      <c r="D7" s="72" t="str">
        <f>IF('入力シート（LED工事用）'!D77="","","台")</f>
        <v/>
      </c>
      <c r="E7" s="73" t="str">
        <f>IF('入力シート（LED工事用）'!G77="","",'入力シート（LED工事用）'!G77)</f>
        <v/>
      </c>
      <c r="F7" s="73" t="str">
        <f>IF('入力シート（LED工事用）'!H77="","",'入力シート（LED工事用）'!H77)</f>
        <v/>
      </c>
      <c r="G7" s="39"/>
    </row>
    <row r="8" spans="1:8" ht="19.5" customHeight="1">
      <c r="A8" s="72" t="str">
        <f>IF('入力シート（LED工事用）'!B78="","",'入力シート（LED工事用）'!B78)</f>
        <v/>
      </c>
      <c r="B8" s="72" t="str">
        <f>IF('入力シート（LED工事用）'!C78="","",'入力シート（LED工事用）'!C78)</f>
        <v/>
      </c>
      <c r="C8" s="72" t="str">
        <f>IF('入力シート（LED工事用）'!D78="","",'入力シート（LED工事用）'!D78)</f>
        <v/>
      </c>
      <c r="D8" s="72" t="str">
        <f>IF('入力シート（LED工事用）'!D78="","","台")</f>
        <v/>
      </c>
      <c r="E8" s="73" t="str">
        <f>IF('入力シート（LED工事用）'!G78="","",'入力シート（LED工事用）'!G78)</f>
        <v/>
      </c>
      <c r="F8" s="73" t="str">
        <f>IF('入力シート（LED工事用）'!H78="","",'入力シート（LED工事用）'!H78)</f>
        <v/>
      </c>
      <c r="G8" s="39"/>
    </row>
    <row r="9" spans="1:8" ht="19.5" customHeight="1">
      <c r="A9" s="72" t="str">
        <f>IF('入力シート（LED工事用）'!B79="","",'入力シート（LED工事用）'!B79)</f>
        <v/>
      </c>
      <c r="B9" s="72" t="str">
        <f>IF('入力シート（LED工事用）'!C79="","",'入力シート（LED工事用）'!C79)</f>
        <v/>
      </c>
      <c r="C9" s="72" t="str">
        <f>IF('入力シート（LED工事用）'!D79="","",'入力シート（LED工事用）'!D79)</f>
        <v/>
      </c>
      <c r="D9" s="72" t="str">
        <f>IF('入力シート（LED工事用）'!D79="","","台")</f>
        <v/>
      </c>
      <c r="E9" s="73" t="str">
        <f>IF('入力シート（LED工事用）'!G79="","",'入力シート（LED工事用）'!G79)</f>
        <v/>
      </c>
      <c r="F9" s="73" t="str">
        <f>IF('入力シート（LED工事用）'!H79="","",'入力シート（LED工事用）'!H79)</f>
        <v/>
      </c>
      <c r="G9" s="39"/>
    </row>
    <row r="10" spans="1:8" ht="19.5" customHeight="1">
      <c r="A10" s="72" t="str">
        <f>IF('入力シート（LED工事用）'!B80="","",'入力シート（LED工事用）'!B80)</f>
        <v/>
      </c>
      <c r="B10" s="72" t="str">
        <f>IF('入力シート（LED工事用）'!C80="","",'入力シート（LED工事用）'!C80)</f>
        <v/>
      </c>
      <c r="C10" s="72" t="str">
        <f>IF('入力シート（LED工事用）'!D80="","",'入力シート（LED工事用）'!D80)</f>
        <v/>
      </c>
      <c r="D10" s="72" t="str">
        <f>IF('入力シート（LED工事用）'!D80="","","台")</f>
        <v/>
      </c>
      <c r="E10" s="73" t="str">
        <f>IF('入力シート（LED工事用）'!G80="","",'入力シート（LED工事用）'!G80)</f>
        <v/>
      </c>
      <c r="F10" s="73" t="str">
        <f>IF('入力シート（LED工事用）'!H80="","",'入力シート（LED工事用）'!H80)</f>
        <v/>
      </c>
      <c r="G10" s="39"/>
    </row>
    <row r="11" spans="1:8" ht="19.5" customHeight="1">
      <c r="A11" s="72" t="str">
        <f>IF('入力シート（LED工事用）'!B81="","",'入力シート（LED工事用）'!B81)</f>
        <v/>
      </c>
      <c r="B11" s="72" t="str">
        <f>IF('入力シート（LED工事用）'!C81="","",'入力シート（LED工事用）'!C81)</f>
        <v/>
      </c>
      <c r="C11" s="72" t="str">
        <f>IF('入力シート（LED工事用）'!D81="","",'入力シート（LED工事用）'!D81)</f>
        <v/>
      </c>
      <c r="D11" s="72" t="str">
        <f>IF('入力シート（LED工事用）'!D81="","","台")</f>
        <v/>
      </c>
      <c r="E11" s="73" t="str">
        <f>IF('入力シート（LED工事用）'!G81="","",'入力シート（LED工事用）'!G81)</f>
        <v/>
      </c>
      <c r="F11" s="73" t="str">
        <f>IF('入力シート（LED工事用）'!H81="","",'入力シート（LED工事用）'!H81)</f>
        <v/>
      </c>
      <c r="G11" s="39"/>
    </row>
    <row r="12" spans="1:8" ht="19.5" customHeight="1">
      <c r="A12" s="72" t="str">
        <f>IF('入力シート（LED工事用）'!B82="","",'入力シート（LED工事用）'!B82)</f>
        <v/>
      </c>
      <c r="B12" s="72" t="str">
        <f>IF('入力シート（LED工事用）'!C82="","",'入力シート（LED工事用）'!C82)</f>
        <v/>
      </c>
      <c r="C12" s="72" t="str">
        <f>IF('入力シート（LED工事用）'!D82="","",'入力シート（LED工事用）'!D82)</f>
        <v/>
      </c>
      <c r="D12" s="72" t="str">
        <f>IF('入力シート（LED工事用）'!D82="","","台")</f>
        <v/>
      </c>
      <c r="E12" s="73" t="str">
        <f>IF('入力シート（LED工事用）'!G82="","",'入力シート（LED工事用）'!G82)</f>
        <v/>
      </c>
      <c r="F12" s="73" t="str">
        <f>IF('入力シート（LED工事用）'!H82="","",'入力シート（LED工事用）'!H82)</f>
        <v/>
      </c>
      <c r="G12" s="39"/>
    </row>
    <row r="13" spans="1:8" ht="19.5" customHeight="1">
      <c r="A13" s="72" t="str">
        <f>IF('入力シート（LED工事用）'!B83="","",'入力シート（LED工事用）'!B83)</f>
        <v/>
      </c>
      <c r="B13" s="72" t="str">
        <f>IF('入力シート（LED工事用）'!C83="","",'入力シート（LED工事用）'!C83)</f>
        <v/>
      </c>
      <c r="C13" s="72" t="str">
        <f>IF('入力シート（LED工事用）'!D83="","",'入力シート（LED工事用）'!D83)</f>
        <v/>
      </c>
      <c r="D13" s="72" t="str">
        <f>IF('入力シート（LED工事用）'!D83="","","台")</f>
        <v/>
      </c>
      <c r="E13" s="73" t="str">
        <f>IF('入力シート（LED工事用）'!G83="","",'入力シート（LED工事用）'!G83)</f>
        <v/>
      </c>
      <c r="F13" s="73" t="str">
        <f>IF('入力シート（LED工事用）'!H83="","",'入力シート（LED工事用）'!H83)</f>
        <v/>
      </c>
      <c r="G13" s="39"/>
    </row>
    <row r="14" spans="1:8" ht="19.5" customHeight="1">
      <c r="A14" s="72" t="str">
        <f>IF('入力シート（LED工事用）'!B84="","",'入力シート（LED工事用）'!B84)</f>
        <v/>
      </c>
      <c r="B14" s="72" t="str">
        <f>IF('入力シート（LED工事用）'!C84="","",'入力シート（LED工事用）'!C84)</f>
        <v/>
      </c>
      <c r="C14" s="72" t="str">
        <f>IF('入力シート（LED工事用）'!D84="","",'入力シート（LED工事用）'!D84)</f>
        <v/>
      </c>
      <c r="D14" s="72" t="str">
        <f>IF('入力シート（LED工事用）'!D84="","","台")</f>
        <v/>
      </c>
      <c r="E14" s="73" t="str">
        <f>IF('入力シート（LED工事用）'!G84="","",'入力シート（LED工事用）'!G84)</f>
        <v/>
      </c>
      <c r="F14" s="73" t="str">
        <f>IF('入力シート（LED工事用）'!H84="","",'入力シート（LED工事用）'!H84)</f>
        <v/>
      </c>
      <c r="G14" s="39"/>
    </row>
    <row r="15" spans="1:8" ht="19.5" customHeight="1">
      <c r="A15" s="72" t="str">
        <f>IF('入力シート（LED工事用）'!B85="","",'入力シート（LED工事用）'!B85)</f>
        <v/>
      </c>
      <c r="B15" s="72" t="str">
        <f>IF('入力シート（LED工事用）'!C85="","",'入力シート（LED工事用）'!C85)</f>
        <v/>
      </c>
      <c r="C15" s="72" t="str">
        <f>IF('入力シート（LED工事用）'!D85="","",'入力シート（LED工事用）'!D85)</f>
        <v/>
      </c>
      <c r="D15" s="72" t="str">
        <f>IF('入力シート（LED工事用）'!D85="","","台")</f>
        <v/>
      </c>
      <c r="E15" s="73" t="str">
        <f>IF('入力シート（LED工事用）'!G85="","",'入力シート（LED工事用）'!G85)</f>
        <v/>
      </c>
      <c r="F15" s="73" t="str">
        <f>IF('入力シート（LED工事用）'!H85="","",'入力シート（LED工事用）'!H85)</f>
        <v/>
      </c>
      <c r="G15" s="39"/>
    </row>
    <row r="16" spans="1:8" ht="19.5" customHeight="1">
      <c r="A16" s="72" t="str">
        <f>IF('入力シート（LED工事用）'!B86="","",'入力シート（LED工事用）'!B86)</f>
        <v/>
      </c>
      <c r="B16" s="72" t="str">
        <f>IF('入力シート（LED工事用）'!C86="","",'入力シート（LED工事用）'!C86)</f>
        <v/>
      </c>
      <c r="C16" s="72" t="str">
        <f>IF('入力シート（LED工事用）'!D86="","",'入力シート（LED工事用）'!D86)</f>
        <v/>
      </c>
      <c r="D16" s="72" t="str">
        <f>IF('入力シート（LED工事用）'!D86="","","台")</f>
        <v/>
      </c>
      <c r="E16" s="73" t="str">
        <f>IF('入力シート（LED工事用）'!G86="","",'入力シート（LED工事用）'!G86)</f>
        <v/>
      </c>
      <c r="F16" s="73" t="str">
        <f>IF('入力シート（LED工事用）'!H86="","",'入力シート（LED工事用）'!H86)</f>
        <v/>
      </c>
      <c r="G16" s="39"/>
    </row>
    <row r="17" spans="1:7" ht="19.5" customHeight="1">
      <c r="A17" s="72" t="str">
        <f>IF('入力シート（LED工事用）'!B87="","",'入力シート（LED工事用）'!B87)</f>
        <v/>
      </c>
      <c r="B17" s="72" t="str">
        <f>IF('入力シート（LED工事用）'!C87="","",'入力シート（LED工事用）'!C87)</f>
        <v/>
      </c>
      <c r="C17" s="72" t="str">
        <f>IF('入力シート（LED工事用）'!D87="","",'入力シート（LED工事用）'!D87)</f>
        <v/>
      </c>
      <c r="D17" s="72" t="str">
        <f>IF('入力シート（LED工事用）'!D87="","","台")</f>
        <v/>
      </c>
      <c r="E17" s="73" t="str">
        <f>IF('入力シート（LED工事用）'!G87="","",'入力シート（LED工事用）'!G87)</f>
        <v/>
      </c>
      <c r="F17" s="73" t="str">
        <f>IF('入力シート（LED工事用）'!H87="","",'入力シート（LED工事用）'!H87)</f>
        <v/>
      </c>
      <c r="G17" s="39"/>
    </row>
    <row r="18" spans="1:7" ht="19.5" customHeight="1">
      <c r="A18" s="72" t="str">
        <f>IF('入力シート（LED工事用）'!B88="","",'入力シート（LED工事用）'!B88)</f>
        <v/>
      </c>
      <c r="B18" s="72" t="str">
        <f>IF('入力シート（LED工事用）'!C88="","",'入力シート（LED工事用）'!C88)</f>
        <v/>
      </c>
      <c r="C18" s="72" t="str">
        <f>IF('入力シート（LED工事用）'!D88="","",'入力シート（LED工事用）'!D88)</f>
        <v/>
      </c>
      <c r="D18" s="72" t="str">
        <f>IF('入力シート（LED工事用）'!D88="","","台")</f>
        <v/>
      </c>
      <c r="E18" s="73" t="str">
        <f>IF('入力シート（LED工事用）'!G88="","",'入力シート（LED工事用）'!G88)</f>
        <v/>
      </c>
      <c r="F18" s="73" t="str">
        <f>IF('入力シート（LED工事用）'!H88="","",'入力シート（LED工事用）'!H88)</f>
        <v/>
      </c>
      <c r="G18" s="39"/>
    </row>
    <row r="19" spans="1:7" ht="19.5" customHeight="1">
      <c r="A19" s="72" t="str">
        <f>IF('入力シート（LED工事用）'!B89="","",'入力シート（LED工事用）'!B89)</f>
        <v/>
      </c>
      <c r="B19" s="72" t="str">
        <f>IF('入力シート（LED工事用）'!C89="","",'入力シート（LED工事用）'!C89)</f>
        <v/>
      </c>
      <c r="C19" s="72" t="str">
        <f>IF('入力シート（LED工事用）'!D89="","",'入力シート（LED工事用）'!D89)</f>
        <v/>
      </c>
      <c r="D19" s="72" t="str">
        <f>IF('入力シート（LED工事用）'!D89="","","台")</f>
        <v/>
      </c>
      <c r="E19" s="73" t="str">
        <f>IF('入力シート（LED工事用）'!G89="","",'入力シート（LED工事用）'!G89)</f>
        <v/>
      </c>
      <c r="F19" s="73" t="str">
        <f>IF('入力シート（LED工事用）'!H89="","",'入力シート（LED工事用）'!H89)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105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IF('入力シート（LED工事用）'!B90="","",'入力シート（LED工事用）'!B90)</f>
        <v/>
      </c>
      <c r="B5" s="72" t="str">
        <f>IF('入力シート（LED工事用）'!C90="","",'入力シート（LED工事用）'!C90)</f>
        <v/>
      </c>
      <c r="C5" s="72" t="str">
        <f>IF('入力シート（LED工事用）'!D90="","",'入力シート（LED工事用）'!D90)</f>
        <v/>
      </c>
      <c r="D5" s="72" t="str">
        <f>IF('入力シート（LED工事用）'!D90="","","台")</f>
        <v/>
      </c>
      <c r="E5" s="73" t="str">
        <f>IF('入力シート（LED工事用）'!G90="","",'入力シート（LED工事用）'!G90)</f>
        <v/>
      </c>
      <c r="F5" s="73" t="str">
        <f>IF('入力シート（LED工事用）'!H90="","",'入力シート（LED工事用）'!H90)</f>
        <v/>
      </c>
      <c r="G5" s="39"/>
    </row>
    <row r="6" spans="1:8" ht="19.5" customHeight="1">
      <c r="A6" s="72" t="str">
        <f>IF('入力シート（LED工事用）'!B91="","",'入力シート（LED工事用）'!B91)</f>
        <v/>
      </c>
      <c r="B6" s="72" t="str">
        <f>IF('入力シート（LED工事用）'!C91="","",'入力シート（LED工事用）'!C91)</f>
        <v/>
      </c>
      <c r="C6" s="72" t="str">
        <f>IF('入力シート（LED工事用）'!D91="","",'入力シート（LED工事用）'!D91)</f>
        <v/>
      </c>
      <c r="D6" s="72" t="str">
        <f>IF('入力シート（LED工事用）'!D91="","","台")</f>
        <v/>
      </c>
      <c r="E6" s="73" t="str">
        <f>IF('入力シート（LED工事用）'!G91="","",'入力シート（LED工事用）'!G91)</f>
        <v/>
      </c>
      <c r="F6" s="73" t="str">
        <f>IF('入力シート（LED工事用）'!H91="","",'入力シート（LED工事用）'!H91)</f>
        <v/>
      </c>
      <c r="G6" s="39"/>
    </row>
    <row r="7" spans="1:8" ht="19.5" customHeight="1">
      <c r="A7" s="72" t="str">
        <f>IF('入力シート（LED工事用）'!B92="","",'入力シート（LED工事用）'!B92)</f>
        <v/>
      </c>
      <c r="B7" s="72" t="str">
        <f>IF('入力シート（LED工事用）'!C92="","",'入力シート（LED工事用）'!C92)</f>
        <v/>
      </c>
      <c r="C7" s="72" t="str">
        <f>IF('入力シート（LED工事用）'!D92="","",'入力シート（LED工事用）'!D92)</f>
        <v/>
      </c>
      <c r="D7" s="72" t="str">
        <f>IF('入力シート（LED工事用）'!D92="","","台")</f>
        <v/>
      </c>
      <c r="E7" s="73" t="str">
        <f>IF('入力シート（LED工事用）'!G92="","",'入力シート（LED工事用）'!G92)</f>
        <v/>
      </c>
      <c r="F7" s="73" t="str">
        <f>IF('入力シート（LED工事用）'!H92="","",'入力シート（LED工事用）'!H92)</f>
        <v/>
      </c>
      <c r="G7" s="39"/>
    </row>
    <row r="8" spans="1:8" ht="19.5" customHeight="1">
      <c r="A8" s="72" t="str">
        <f>IF('入力シート（LED工事用）'!B93="","",'入力シート（LED工事用）'!B93)</f>
        <v/>
      </c>
      <c r="B8" s="72" t="str">
        <f>IF('入力シート（LED工事用）'!C93="","",'入力シート（LED工事用）'!C93)</f>
        <v/>
      </c>
      <c r="C8" s="72" t="str">
        <f>IF('入力シート（LED工事用）'!D93="","",'入力シート（LED工事用）'!D93)</f>
        <v/>
      </c>
      <c r="D8" s="72" t="str">
        <f>IF('入力シート（LED工事用）'!D93="","","台")</f>
        <v/>
      </c>
      <c r="E8" s="73" t="str">
        <f>IF('入力シート（LED工事用）'!G93="","",'入力シート（LED工事用）'!G93)</f>
        <v/>
      </c>
      <c r="F8" s="73" t="str">
        <f>IF('入力シート（LED工事用）'!H93="","",'入力シート（LED工事用）'!H93)</f>
        <v/>
      </c>
      <c r="G8" s="39"/>
    </row>
    <row r="9" spans="1:8" ht="19.5" customHeight="1">
      <c r="A9" s="72" t="str">
        <f>IF('入力シート（LED工事用）'!B94="","",'入力シート（LED工事用）'!B94)</f>
        <v/>
      </c>
      <c r="B9" s="72" t="str">
        <f>IF('入力シート（LED工事用）'!C94="","",'入力シート（LED工事用）'!C94)</f>
        <v/>
      </c>
      <c r="C9" s="72" t="str">
        <f>IF('入力シート（LED工事用）'!D94="","",'入力シート（LED工事用）'!D94)</f>
        <v/>
      </c>
      <c r="D9" s="72" t="str">
        <f>IF('入力シート（LED工事用）'!D94="","","台")</f>
        <v/>
      </c>
      <c r="E9" s="73" t="str">
        <f>IF('入力シート（LED工事用）'!G94="","",'入力シート（LED工事用）'!G94)</f>
        <v/>
      </c>
      <c r="F9" s="73" t="str">
        <f>IF('入力シート（LED工事用）'!H94="","",'入力シート（LED工事用）'!H94)</f>
        <v/>
      </c>
      <c r="G9" s="39"/>
    </row>
    <row r="10" spans="1:8" ht="19.5" customHeight="1">
      <c r="A10" s="72" t="str">
        <f>IF('入力シート（LED工事用）'!B95="","",'入力シート（LED工事用）'!B95)</f>
        <v/>
      </c>
      <c r="B10" s="72" t="str">
        <f>IF('入力シート（LED工事用）'!C95="","",'入力シート（LED工事用）'!C95)</f>
        <v/>
      </c>
      <c r="C10" s="72" t="str">
        <f>IF('入力シート（LED工事用）'!D95="","",'入力シート（LED工事用）'!D95)</f>
        <v/>
      </c>
      <c r="D10" s="72" t="str">
        <f>IF('入力シート（LED工事用）'!D95="","","台")</f>
        <v/>
      </c>
      <c r="E10" s="73" t="str">
        <f>IF('入力シート（LED工事用）'!G95="","",'入力シート（LED工事用）'!G95)</f>
        <v/>
      </c>
      <c r="F10" s="73" t="str">
        <f>IF('入力シート（LED工事用）'!H95="","",'入力シート（LED工事用）'!H95)</f>
        <v/>
      </c>
      <c r="G10" s="39"/>
    </row>
    <row r="11" spans="1:8" ht="19.5" customHeight="1">
      <c r="A11" s="72" t="str">
        <f>IF('入力シート（LED工事用）'!B96="","",'入力シート（LED工事用）'!B96)</f>
        <v/>
      </c>
      <c r="B11" s="72" t="str">
        <f>IF('入力シート（LED工事用）'!C96="","",'入力シート（LED工事用）'!C96)</f>
        <v/>
      </c>
      <c r="C11" s="72" t="str">
        <f>IF('入力シート（LED工事用）'!D96="","",'入力シート（LED工事用）'!D96)</f>
        <v/>
      </c>
      <c r="D11" s="72" t="str">
        <f>IF('入力シート（LED工事用）'!D96="","","台")</f>
        <v/>
      </c>
      <c r="E11" s="73" t="str">
        <f>IF('入力シート（LED工事用）'!G96="","",'入力シート（LED工事用）'!G96)</f>
        <v/>
      </c>
      <c r="F11" s="73" t="str">
        <f>IF('入力シート（LED工事用）'!H96="","",'入力シート（LED工事用）'!H96)</f>
        <v/>
      </c>
      <c r="G11" s="39"/>
    </row>
    <row r="12" spans="1:8" ht="19.5" customHeight="1">
      <c r="A12" s="72" t="str">
        <f>IF('入力シート（LED工事用）'!B97="","",'入力シート（LED工事用）'!B97)</f>
        <v/>
      </c>
      <c r="B12" s="72" t="str">
        <f>IF('入力シート（LED工事用）'!C97="","",'入力シート（LED工事用）'!C97)</f>
        <v/>
      </c>
      <c r="C12" s="72" t="str">
        <f>IF('入力シート（LED工事用）'!D97="","",'入力シート（LED工事用）'!D97)</f>
        <v/>
      </c>
      <c r="D12" s="72" t="str">
        <f>IF('入力シート（LED工事用）'!D97="","","台")</f>
        <v/>
      </c>
      <c r="E12" s="73" t="str">
        <f>IF('入力シート（LED工事用）'!G97="","",'入力シート（LED工事用）'!G97)</f>
        <v/>
      </c>
      <c r="F12" s="73" t="str">
        <f>IF('入力シート（LED工事用）'!H97="","",'入力シート（LED工事用）'!H97)</f>
        <v/>
      </c>
      <c r="G12" s="39"/>
    </row>
    <row r="13" spans="1:8" ht="19.5" customHeight="1">
      <c r="A13" s="72" t="str">
        <f>IF('入力シート（LED工事用）'!B98="","",'入力シート（LED工事用）'!B98)</f>
        <v/>
      </c>
      <c r="B13" s="72" t="str">
        <f>IF('入力シート（LED工事用）'!C98="","",'入力シート（LED工事用）'!C98)</f>
        <v/>
      </c>
      <c r="C13" s="72" t="str">
        <f>IF('入力シート（LED工事用）'!D98="","",'入力シート（LED工事用）'!D98)</f>
        <v/>
      </c>
      <c r="D13" s="72" t="str">
        <f>IF('入力シート（LED工事用）'!D98="","","台")</f>
        <v/>
      </c>
      <c r="E13" s="73" t="str">
        <f>IF('入力シート（LED工事用）'!G98="","",'入力シート（LED工事用）'!G98)</f>
        <v/>
      </c>
      <c r="F13" s="73" t="str">
        <f>IF('入力シート（LED工事用）'!H98="","",'入力シート（LED工事用）'!H98)</f>
        <v/>
      </c>
      <c r="G13" s="39"/>
    </row>
    <row r="14" spans="1:8" ht="19.5" customHeight="1">
      <c r="A14" s="72" t="str">
        <f>IF('入力シート（LED工事用）'!B99="","",'入力シート（LED工事用）'!B99)</f>
        <v/>
      </c>
      <c r="B14" s="72" t="str">
        <f>IF('入力シート（LED工事用）'!C99="","",'入力シート（LED工事用）'!C99)</f>
        <v/>
      </c>
      <c r="C14" s="72" t="str">
        <f>IF('入力シート（LED工事用）'!D99="","",'入力シート（LED工事用）'!D99)</f>
        <v/>
      </c>
      <c r="D14" s="72" t="str">
        <f>IF('入力シート（LED工事用）'!D99="","","台")</f>
        <v/>
      </c>
      <c r="E14" s="73" t="str">
        <f>IF('入力シート（LED工事用）'!G99="","",'入力シート（LED工事用）'!G99)</f>
        <v/>
      </c>
      <c r="F14" s="73" t="str">
        <f>IF('入力シート（LED工事用）'!H99="","",'入力シート（LED工事用）'!H99)</f>
        <v/>
      </c>
      <c r="G14" s="39"/>
    </row>
    <row r="15" spans="1:8" ht="19.5" customHeight="1">
      <c r="A15" s="72" t="str">
        <f>IF('入力シート（LED工事用）'!B100="","",'入力シート（LED工事用）'!B100)</f>
        <v/>
      </c>
      <c r="B15" s="72" t="str">
        <f>IF('入力シート（LED工事用）'!C100="","",'入力シート（LED工事用）'!C100)</f>
        <v/>
      </c>
      <c r="C15" s="72" t="str">
        <f>IF('入力シート（LED工事用）'!D100="","",'入力シート（LED工事用）'!D100)</f>
        <v/>
      </c>
      <c r="D15" s="72" t="str">
        <f>IF('入力シート（LED工事用）'!D100="","","台")</f>
        <v/>
      </c>
      <c r="E15" s="73" t="str">
        <f>IF('入力シート（LED工事用）'!G100="","",'入力シート（LED工事用）'!G100)</f>
        <v/>
      </c>
      <c r="F15" s="73" t="str">
        <f>IF('入力シート（LED工事用）'!H100="","",'入力シート（LED工事用）'!H100)</f>
        <v/>
      </c>
      <c r="G15" s="39"/>
    </row>
    <row r="16" spans="1:8" ht="19.5" customHeight="1">
      <c r="A16" s="72" t="str">
        <f>IF('入力シート（LED工事用）'!B101="","",'入力シート（LED工事用）'!B101)</f>
        <v/>
      </c>
      <c r="B16" s="72" t="str">
        <f>IF('入力シート（LED工事用）'!C101="","",'入力シート（LED工事用）'!C101)</f>
        <v/>
      </c>
      <c r="C16" s="72" t="str">
        <f>IF('入力シート（LED工事用）'!D101="","",'入力シート（LED工事用）'!D101)</f>
        <v/>
      </c>
      <c r="D16" s="72" t="str">
        <f>IF('入力シート（LED工事用）'!D101="","","台")</f>
        <v/>
      </c>
      <c r="E16" s="73" t="str">
        <f>IF('入力シート（LED工事用）'!G101="","",'入力シート（LED工事用）'!G101)</f>
        <v/>
      </c>
      <c r="F16" s="73" t="str">
        <f>IF('入力シート（LED工事用）'!H101="","",'入力シート（LED工事用）'!H101)</f>
        <v/>
      </c>
      <c r="G16" s="39"/>
    </row>
    <row r="17" spans="1:7" ht="19.5" customHeight="1">
      <c r="A17" s="72" t="str">
        <f>IF('入力シート（LED工事用）'!B102="","",'入力シート（LED工事用）'!B102)</f>
        <v/>
      </c>
      <c r="B17" s="72" t="str">
        <f>IF('入力シート（LED工事用）'!C102="","",'入力シート（LED工事用）'!C102)</f>
        <v/>
      </c>
      <c r="C17" s="72" t="str">
        <f>IF('入力シート（LED工事用）'!D102="","",'入力シート（LED工事用）'!D102)</f>
        <v/>
      </c>
      <c r="D17" s="72" t="str">
        <f>IF('入力シート（LED工事用）'!D102="","","台")</f>
        <v/>
      </c>
      <c r="E17" s="73" t="str">
        <f>IF('入力シート（LED工事用）'!G102="","",'入力シート（LED工事用）'!G102)</f>
        <v/>
      </c>
      <c r="F17" s="73" t="str">
        <f>IF('入力シート（LED工事用）'!H102="","",'入力シート（LED工事用）'!H102)</f>
        <v/>
      </c>
      <c r="G17" s="39"/>
    </row>
    <row r="18" spans="1:7" ht="19.5" customHeight="1">
      <c r="A18" s="72" t="str">
        <f>IF('入力シート（LED工事用）'!B103="","",'入力シート（LED工事用）'!B103)</f>
        <v/>
      </c>
      <c r="B18" s="72" t="str">
        <f>IF('入力シート（LED工事用）'!C103="","",'入力シート（LED工事用）'!C103)</f>
        <v/>
      </c>
      <c r="C18" s="72" t="str">
        <f>IF('入力シート（LED工事用）'!D103="","",'入力シート（LED工事用）'!D103)</f>
        <v/>
      </c>
      <c r="D18" s="72" t="str">
        <f>IF('入力シート（LED工事用）'!D103="","","台")</f>
        <v/>
      </c>
      <c r="E18" s="73" t="str">
        <f>IF('入力シート（LED工事用）'!G103="","",'入力シート（LED工事用）'!G103)</f>
        <v/>
      </c>
      <c r="F18" s="73" t="str">
        <f>IF('入力シート（LED工事用）'!H103="","",'入力シート（LED工事用）'!H103)</f>
        <v/>
      </c>
      <c r="G18" s="39"/>
    </row>
    <row r="19" spans="1:7" ht="19.5" customHeight="1">
      <c r="A19" s="72" t="str">
        <f>IF('入力シート（LED工事用）'!B104="","",'入力シート（LED工事用）'!B104)</f>
        <v/>
      </c>
      <c r="B19" s="72" t="str">
        <f>IF('入力シート（LED工事用）'!C104="","",'入力シート（LED工事用）'!C104)</f>
        <v/>
      </c>
      <c r="C19" s="72" t="str">
        <f>IF('入力シート（LED工事用）'!D104="","",'入力シート（LED工事用）'!D104)</f>
        <v/>
      </c>
      <c r="D19" s="72" t="str">
        <f>IF('入力シート（LED工事用）'!D104="","","台")</f>
        <v/>
      </c>
      <c r="E19" s="73" t="str">
        <f>IF('入力シート（LED工事用）'!G104="","",'入力シート（LED工事用）'!G104)</f>
        <v/>
      </c>
      <c r="F19" s="73" t="str">
        <f>IF('入力シート（LED工事用）'!H104="","",'入力シート（LED工事用）'!H104)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106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IF('入力シート（LED工事用）'!B105="","",'入力シート（LED工事用）'!B105)</f>
        <v/>
      </c>
      <c r="B5" s="72" t="str">
        <f>IF('入力シート（LED工事用）'!C105="","",'入力シート（LED工事用）'!C105)</f>
        <v/>
      </c>
      <c r="C5" s="72" t="str">
        <f>IF('入力シート（LED工事用）'!D105="","",'入力シート（LED工事用）'!D105)</f>
        <v/>
      </c>
      <c r="D5" s="72" t="str">
        <f>IF('入力シート（LED工事用）'!D105="","","台")</f>
        <v/>
      </c>
      <c r="E5" s="73" t="str">
        <f>IF('入力シート（LED工事用）'!G105="","",'入力シート（LED工事用）'!G105)</f>
        <v/>
      </c>
      <c r="F5" s="73" t="str">
        <f>IF('入力シート（LED工事用）'!H105="","",'入力シート（LED工事用）'!H105)</f>
        <v/>
      </c>
      <c r="G5" s="39"/>
    </row>
    <row r="6" spans="1:8" ht="19.5" customHeight="1">
      <c r="A6" s="72" t="str">
        <f>IF('入力シート（LED工事用）'!B106="","",'入力シート（LED工事用）'!B106)</f>
        <v/>
      </c>
      <c r="B6" s="72" t="str">
        <f>IF('入力シート（LED工事用）'!C106="","",'入力シート（LED工事用）'!C106)</f>
        <v/>
      </c>
      <c r="C6" s="72" t="str">
        <f>IF('入力シート（LED工事用）'!D106="","",'入力シート（LED工事用）'!D106)</f>
        <v/>
      </c>
      <c r="D6" s="72" t="str">
        <f>IF('入力シート（LED工事用）'!D106="","","台")</f>
        <v/>
      </c>
      <c r="E6" s="73" t="str">
        <f>IF('入力シート（LED工事用）'!G106="","",'入力シート（LED工事用）'!G106)</f>
        <v/>
      </c>
      <c r="F6" s="73" t="str">
        <f>IF('入力シート（LED工事用）'!H106="","",'入力シート（LED工事用）'!H106)</f>
        <v/>
      </c>
      <c r="G6" s="39"/>
    </row>
    <row r="7" spans="1:8" ht="19.5" customHeight="1">
      <c r="A7" s="72" t="str">
        <f>IF('入力シート（LED工事用）'!B107="","",'入力シート（LED工事用）'!B107)</f>
        <v/>
      </c>
      <c r="B7" s="72" t="str">
        <f>IF('入力シート（LED工事用）'!C107="","",'入力シート（LED工事用）'!C107)</f>
        <v/>
      </c>
      <c r="C7" s="72" t="str">
        <f>IF('入力シート（LED工事用）'!D107="","",'入力シート（LED工事用）'!D107)</f>
        <v/>
      </c>
      <c r="D7" s="72" t="str">
        <f>IF('入力シート（LED工事用）'!D107="","","台")</f>
        <v/>
      </c>
      <c r="E7" s="73" t="str">
        <f>IF('入力シート（LED工事用）'!G107="","",'入力シート（LED工事用）'!G107)</f>
        <v/>
      </c>
      <c r="F7" s="73" t="str">
        <f>IF('入力シート（LED工事用）'!H107="","",'入力シート（LED工事用）'!H107)</f>
        <v/>
      </c>
      <c r="G7" s="39"/>
    </row>
    <row r="8" spans="1:8" ht="19.5" customHeight="1">
      <c r="A8" s="72" t="str">
        <f>IF('入力シート（LED工事用）'!B108="","",'入力シート（LED工事用）'!B108)</f>
        <v/>
      </c>
      <c r="B8" s="72" t="str">
        <f>IF('入力シート（LED工事用）'!C108="","",'入力シート（LED工事用）'!C108)</f>
        <v/>
      </c>
      <c r="C8" s="72" t="str">
        <f>IF('入力シート（LED工事用）'!D108="","",'入力シート（LED工事用）'!D108)</f>
        <v/>
      </c>
      <c r="D8" s="72" t="str">
        <f>IF('入力シート（LED工事用）'!D108="","","台")</f>
        <v/>
      </c>
      <c r="E8" s="73" t="str">
        <f>IF('入力シート（LED工事用）'!G108="","",'入力シート（LED工事用）'!G108)</f>
        <v/>
      </c>
      <c r="F8" s="73" t="str">
        <f>IF('入力シート（LED工事用）'!H108="","",'入力シート（LED工事用）'!H108)</f>
        <v/>
      </c>
      <c r="G8" s="39"/>
    </row>
    <row r="9" spans="1:8" ht="19.5" customHeight="1">
      <c r="A9" s="72" t="str">
        <f>IF('入力シート（LED工事用）'!B109="","",'入力シート（LED工事用）'!B109)</f>
        <v/>
      </c>
      <c r="B9" s="72" t="str">
        <f>IF('入力シート（LED工事用）'!C109="","",'入力シート（LED工事用）'!C109)</f>
        <v/>
      </c>
      <c r="C9" s="72" t="str">
        <f>IF('入力シート（LED工事用）'!D109="","",'入力シート（LED工事用）'!D109)</f>
        <v/>
      </c>
      <c r="D9" s="72" t="str">
        <f>IF('入力シート（LED工事用）'!D109="","","台")</f>
        <v/>
      </c>
      <c r="E9" s="73" t="str">
        <f>IF('入力シート（LED工事用）'!G109="","",'入力シート（LED工事用）'!G109)</f>
        <v/>
      </c>
      <c r="F9" s="73" t="str">
        <f>IF('入力シート（LED工事用）'!H109="","",'入力シート（LED工事用）'!H109)</f>
        <v/>
      </c>
      <c r="G9" s="39"/>
    </row>
    <row r="10" spans="1:8" ht="19.5" customHeight="1">
      <c r="A10" s="72" t="str">
        <f>IF('入力シート（LED工事用）'!B110="","",'入力シート（LED工事用）'!B110)</f>
        <v/>
      </c>
      <c r="B10" s="72" t="str">
        <f>IF('入力シート（LED工事用）'!C110="","",'入力シート（LED工事用）'!C110)</f>
        <v/>
      </c>
      <c r="C10" s="72" t="str">
        <f>IF('入力シート（LED工事用）'!D110="","",'入力シート（LED工事用）'!D110)</f>
        <v/>
      </c>
      <c r="D10" s="72" t="str">
        <f>IF('入力シート（LED工事用）'!D110="","","台")</f>
        <v/>
      </c>
      <c r="E10" s="73" t="str">
        <f>IF('入力シート（LED工事用）'!G110="","",'入力シート（LED工事用）'!G110)</f>
        <v/>
      </c>
      <c r="F10" s="73" t="str">
        <f>IF('入力シート（LED工事用）'!H110="","",'入力シート（LED工事用）'!H110)</f>
        <v/>
      </c>
      <c r="G10" s="39"/>
    </row>
    <row r="11" spans="1:8" ht="19.5" customHeight="1">
      <c r="A11" s="72" t="str">
        <f>IF('入力シート（LED工事用）'!B111="","",'入力シート（LED工事用）'!B111)</f>
        <v/>
      </c>
      <c r="B11" s="72" t="str">
        <f>IF('入力シート（LED工事用）'!C111="","",'入力シート（LED工事用）'!C111)</f>
        <v/>
      </c>
      <c r="C11" s="72" t="str">
        <f>IF('入力シート（LED工事用）'!D111="","",'入力シート（LED工事用）'!D111)</f>
        <v/>
      </c>
      <c r="D11" s="72" t="str">
        <f>IF('入力シート（LED工事用）'!D111="","","台")</f>
        <v/>
      </c>
      <c r="E11" s="73" t="str">
        <f>IF('入力シート（LED工事用）'!G111="","",'入力シート（LED工事用）'!G111)</f>
        <v/>
      </c>
      <c r="F11" s="73" t="str">
        <f>IF('入力シート（LED工事用）'!H111="","",'入力シート（LED工事用）'!H111)</f>
        <v/>
      </c>
      <c r="G11" s="39"/>
    </row>
    <row r="12" spans="1:8" ht="19.5" customHeight="1">
      <c r="A12" s="72" t="str">
        <f>IF('入力シート（LED工事用）'!B112="","",'入力シート（LED工事用）'!B112)</f>
        <v/>
      </c>
      <c r="B12" s="72" t="str">
        <f>IF('入力シート（LED工事用）'!C112="","",'入力シート（LED工事用）'!C112)</f>
        <v/>
      </c>
      <c r="C12" s="72" t="str">
        <f>IF('入力シート（LED工事用）'!D112="","",'入力シート（LED工事用）'!D112)</f>
        <v/>
      </c>
      <c r="D12" s="72" t="str">
        <f>IF('入力シート（LED工事用）'!D112="","","台")</f>
        <v/>
      </c>
      <c r="E12" s="73" t="str">
        <f>IF('入力シート（LED工事用）'!G112="","",'入力シート（LED工事用）'!G112)</f>
        <v/>
      </c>
      <c r="F12" s="73" t="str">
        <f>IF('入力シート（LED工事用）'!H112="","",'入力シート（LED工事用）'!H112)</f>
        <v/>
      </c>
      <c r="G12" s="39"/>
    </row>
    <row r="13" spans="1:8" ht="19.5" customHeight="1">
      <c r="A13" s="72" t="str">
        <f>IF('入力シート（LED工事用）'!B113="","",'入力シート（LED工事用）'!B113)</f>
        <v/>
      </c>
      <c r="B13" s="72" t="str">
        <f>IF('入力シート（LED工事用）'!C113="","",'入力シート（LED工事用）'!C113)</f>
        <v/>
      </c>
      <c r="C13" s="72" t="str">
        <f>IF('入力シート（LED工事用）'!D113="","",'入力シート（LED工事用）'!D113)</f>
        <v/>
      </c>
      <c r="D13" s="72" t="str">
        <f>IF('入力シート（LED工事用）'!D113="","","台")</f>
        <v/>
      </c>
      <c r="E13" s="73" t="str">
        <f>IF('入力シート（LED工事用）'!G113="","",'入力シート（LED工事用）'!G113)</f>
        <v/>
      </c>
      <c r="F13" s="73" t="str">
        <f>IF('入力シート（LED工事用）'!H113="","",'入力シート（LED工事用）'!H113)</f>
        <v/>
      </c>
      <c r="G13" s="39"/>
    </row>
    <row r="14" spans="1:8" ht="19.5" customHeight="1">
      <c r="A14" s="72" t="str">
        <f>IF('入力シート（LED工事用）'!B114="","",'入力シート（LED工事用）'!B114)</f>
        <v/>
      </c>
      <c r="B14" s="72" t="str">
        <f>IF('入力シート（LED工事用）'!C114="","",'入力シート（LED工事用）'!C114)</f>
        <v/>
      </c>
      <c r="C14" s="72" t="str">
        <f>IF('入力シート（LED工事用）'!D114="","",'入力シート（LED工事用）'!D114)</f>
        <v/>
      </c>
      <c r="D14" s="72" t="str">
        <f>IF('入力シート（LED工事用）'!D114="","","台")</f>
        <v/>
      </c>
      <c r="E14" s="73" t="str">
        <f>IF('入力シート（LED工事用）'!G114="","",'入力シート（LED工事用）'!G114)</f>
        <v/>
      </c>
      <c r="F14" s="73" t="str">
        <f>IF('入力シート（LED工事用）'!H114="","",'入力シート（LED工事用）'!H114)</f>
        <v/>
      </c>
      <c r="G14" s="39"/>
    </row>
    <row r="15" spans="1:8" ht="19.5" customHeight="1">
      <c r="A15" s="72" t="str">
        <f>IF('入力シート（LED工事用）'!B115="","",'入力シート（LED工事用）'!B115)</f>
        <v/>
      </c>
      <c r="B15" s="72" t="str">
        <f>IF('入力シート（LED工事用）'!C115="","",'入力シート（LED工事用）'!C115)</f>
        <v/>
      </c>
      <c r="C15" s="72" t="str">
        <f>IF('入力シート（LED工事用）'!D115="","",'入力シート（LED工事用）'!D115)</f>
        <v/>
      </c>
      <c r="D15" s="72" t="str">
        <f>IF('入力シート（LED工事用）'!D115="","","台")</f>
        <v/>
      </c>
      <c r="E15" s="73" t="str">
        <f>IF('入力シート（LED工事用）'!G115="","",'入力シート（LED工事用）'!G115)</f>
        <v/>
      </c>
      <c r="F15" s="73" t="str">
        <f>IF('入力シート（LED工事用）'!H115="","",'入力シート（LED工事用）'!H115)</f>
        <v/>
      </c>
      <c r="G15" s="39"/>
    </row>
    <row r="16" spans="1:8" ht="19.5" customHeight="1">
      <c r="A16" s="72" t="str">
        <f>IF('入力シート（LED工事用）'!B116="","",'入力シート（LED工事用）'!B116)</f>
        <v/>
      </c>
      <c r="B16" s="72" t="str">
        <f>IF('入力シート（LED工事用）'!C116="","",'入力シート（LED工事用）'!C116)</f>
        <v/>
      </c>
      <c r="C16" s="72" t="str">
        <f>IF('入力シート（LED工事用）'!D116="","",'入力シート（LED工事用）'!D116)</f>
        <v/>
      </c>
      <c r="D16" s="72" t="str">
        <f>IF('入力シート（LED工事用）'!D116="","","台")</f>
        <v/>
      </c>
      <c r="E16" s="73" t="str">
        <f>IF('入力シート（LED工事用）'!G116="","",'入力シート（LED工事用）'!G116)</f>
        <v/>
      </c>
      <c r="F16" s="73" t="str">
        <f>IF('入力シート（LED工事用）'!H116="","",'入力シート（LED工事用）'!H116)</f>
        <v/>
      </c>
      <c r="G16" s="39"/>
    </row>
    <row r="17" spans="1:7" ht="19.5" customHeight="1">
      <c r="A17" s="72" t="str">
        <f>IF('入力シート（LED工事用）'!B117="","",'入力シート（LED工事用）'!B117)</f>
        <v/>
      </c>
      <c r="B17" s="72" t="str">
        <f>IF('入力シート（LED工事用）'!C117="","",'入力シート（LED工事用）'!C117)</f>
        <v/>
      </c>
      <c r="C17" s="72" t="str">
        <f>IF('入力シート（LED工事用）'!D117="","",'入力シート（LED工事用）'!D117)</f>
        <v/>
      </c>
      <c r="D17" s="72" t="str">
        <f>IF('入力シート（LED工事用）'!D117="","","台")</f>
        <v/>
      </c>
      <c r="E17" s="73" t="str">
        <f>IF('入力シート（LED工事用）'!G117="","",'入力シート（LED工事用）'!G117)</f>
        <v/>
      </c>
      <c r="F17" s="73" t="str">
        <f>IF('入力シート（LED工事用）'!H117="","",'入力シート（LED工事用）'!H117)</f>
        <v/>
      </c>
      <c r="G17" s="39"/>
    </row>
    <row r="18" spans="1:7" ht="19.5" customHeight="1">
      <c r="A18" s="72" t="str">
        <f>IF('入力シート（LED工事用）'!B118="","",'入力シート（LED工事用）'!B118)</f>
        <v/>
      </c>
      <c r="B18" s="72" t="str">
        <f>IF('入力シート（LED工事用）'!C118="","",'入力シート（LED工事用）'!C118)</f>
        <v/>
      </c>
      <c r="C18" s="72" t="str">
        <f>IF('入力シート（LED工事用）'!D118="","",'入力シート（LED工事用）'!D118)</f>
        <v/>
      </c>
      <c r="D18" s="72" t="str">
        <f>IF('入力シート（LED工事用）'!D118="","","台")</f>
        <v/>
      </c>
      <c r="E18" s="73" t="str">
        <f>IF('入力シート（LED工事用）'!G118="","",'入力シート（LED工事用）'!G118)</f>
        <v/>
      </c>
      <c r="F18" s="73" t="str">
        <f>IF('入力シート（LED工事用）'!H118="","",'入力シート（LED工事用）'!H118)</f>
        <v/>
      </c>
      <c r="G18" s="39"/>
    </row>
    <row r="19" spans="1:7" ht="19.5" customHeight="1">
      <c r="A19" s="72" t="str">
        <f>IF('入力シート（LED工事用）'!B119="","",'入力シート（LED工事用）'!B119)</f>
        <v/>
      </c>
      <c r="B19" s="72" t="str">
        <f>IF('入力シート（LED工事用）'!C119="","",'入力シート（LED工事用）'!C119)</f>
        <v/>
      </c>
      <c r="C19" s="72" t="str">
        <f>IF('入力シート（LED工事用）'!D119="","",'入力シート（LED工事用）'!D119)</f>
        <v/>
      </c>
      <c r="D19" s="72" t="str">
        <f>IF('入力シート（LED工事用）'!D119="","","台")</f>
        <v/>
      </c>
      <c r="E19" s="73" t="str">
        <f>IF('入力シート（LED工事用）'!G119="","",'入力シート（LED工事用）'!G119)</f>
        <v/>
      </c>
      <c r="F19" s="73" t="str">
        <f>IF('入力シート（LED工事用）'!H119="","",'入力シート（LED工事用）'!H119)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5"/>
  <sheetViews>
    <sheetView view="pageBreakPreview" zoomScaleNormal="100" workbookViewId="0">
      <selection activeCell="B8" sqref="B8"/>
    </sheetView>
  </sheetViews>
  <sheetFormatPr defaultColWidth="8.83203125" defaultRowHeight="12.75"/>
  <cols>
    <col min="1" max="1" width="53.33203125" customWidth="1"/>
    <col min="2" max="2" width="28.5" customWidth="1"/>
    <col min="3" max="3" width="7.5" customWidth="1"/>
    <col min="4" max="4" width="4.1640625" customWidth="1"/>
    <col min="5" max="5" width="12.5" customWidth="1"/>
    <col min="6" max="6" width="25.33203125" customWidth="1"/>
    <col min="7" max="7" width="25.83203125" customWidth="1"/>
  </cols>
  <sheetData>
    <row r="1" spans="1:8" ht="20.25" customHeight="1">
      <c r="A1" s="8"/>
      <c r="B1" s="8"/>
      <c r="C1" s="8"/>
      <c r="D1" s="8"/>
      <c r="E1" s="8"/>
      <c r="F1" s="8"/>
      <c r="G1" s="71">
        <v>46224</v>
      </c>
    </row>
    <row r="2" spans="1:8" ht="29.25" customHeight="1">
      <c r="A2" s="68" t="s">
        <v>107</v>
      </c>
    </row>
    <row r="3" spans="1:8" ht="21" customHeight="1">
      <c r="A3" s="62" t="s">
        <v>71</v>
      </c>
      <c r="B3" s="62" t="s">
        <v>97</v>
      </c>
      <c r="C3" s="110" t="s">
        <v>73</v>
      </c>
      <c r="D3" s="111"/>
      <c r="E3" s="69" t="s">
        <v>98</v>
      </c>
      <c r="F3" s="69" t="s">
        <v>75</v>
      </c>
      <c r="G3" s="69" t="s">
        <v>76</v>
      </c>
      <c r="H3" s="37"/>
    </row>
    <row r="4" spans="1:8" ht="21" customHeight="1">
      <c r="A4" s="64" t="s">
        <v>99</v>
      </c>
      <c r="B4" s="38"/>
      <c r="C4" s="23"/>
      <c r="D4" s="33"/>
      <c r="E4" s="23"/>
      <c r="F4" s="29"/>
      <c r="G4" s="31"/>
    </row>
    <row r="5" spans="1:8" ht="19.5" customHeight="1">
      <c r="A5" s="72" t="str">
        <f>IF('入力シート（LED工事用）'!B120="","",'入力シート（LED工事用）'!B120)</f>
        <v/>
      </c>
      <c r="B5" s="72" t="str">
        <f>IF('入力シート（LED工事用）'!C120="","",'入力シート（LED工事用）'!C120)</f>
        <v/>
      </c>
      <c r="C5" s="72" t="str">
        <f>IF('入力シート（LED工事用）'!D120="","",'入力シート（LED工事用）'!D120)</f>
        <v/>
      </c>
      <c r="D5" s="72" t="str">
        <f>IF('入力シート（LED工事用）'!D120="","","台")</f>
        <v/>
      </c>
      <c r="E5" s="73" t="str">
        <f>IF('入力シート（LED工事用）'!G120="","",'入力シート（LED工事用）'!G120)</f>
        <v/>
      </c>
      <c r="F5" s="73" t="str">
        <f>IF('入力シート（LED工事用）'!H120="","",'入力シート（LED工事用）'!H120)</f>
        <v/>
      </c>
      <c r="G5" s="39"/>
    </row>
    <row r="6" spans="1:8" ht="19.5" customHeight="1">
      <c r="A6" s="72" t="str">
        <f>IF('入力シート（LED工事用）'!B121="","",'入力シート（LED工事用）'!B121)</f>
        <v/>
      </c>
      <c r="B6" s="72" t="str">
        <f>IF('入力シート（LED工事用）'!C121="","",'入力シート（LED工事用）'!C121)</f>
        <v/>
      </c>
      <c r="C6" s="72" t="str">
        <f>IF('入力シート（LED工事用）'!D121="","",'入力シート（LED工事用）'!D121)</f>
        <v/>
      </c>
      <c r="D6" s="72" t="str">
        <f>IF('入力シート（LED工事用）'!D121="","","台")</f>
        <v/>
      </c>
      <c r="E6" s="73" t="str">
        <f>IF('入力シート（LED工事用）'!G121="","",'入力シート（LED工事用）'!G121)</f>
        <v/>
      </c>
      <c r="F6" s="73" t="str">
        <f>IF('入力シート（LED工事用）'!H121="","",'入力シート（LED工事用）'!H121)</f>
        <v/>
      </c>
      <c r="G6" s="39"/>
    </row>
    <row r="7" spans="1:8" ht="19.5" customHeight="1">
      <c r="A7" s="72" t="str">
        <f>IF('入力シート（LED工事用）'!B122="","",'入力シート（LED工事用）'!B122)</f>
        <v/>
      </c>
      <c r="B7" s="72" t="str">
        <f>IF('入力シート（LED工事用）'!C122="","",'入力シート（LED工事用）'!C122)</f>
        <v/>
      </c>
      <c r="C7" s="72" t="str">
        <f>IF('入力シート（LED工事用）'!D122="","",'入力シート（LED工事用）'!D122)</f>
        <v/>
      </c>
      <c r="D7" s="72" t="str">
        <f>IF('入力シート（LED工事用）'!D122="","","台")</f>
        <v/>
      </c>
      <c r="E7" s="73" t="str">
        <f>IF('入力シート（LED工事用）'!G122="","",'入力シート（LED工事用）'!G122)</f>
        <v/>
      </c>
      <c r="F7" s="73" t="str">
        <f>IF('入力シート（LED工事用）'!H122="","",'入力シート（LED工事用）'!H122)</f>
        <v/>
      </c>
      <c r="G7" s="39"/>
    </row>
    <row r="8" spans="1:8" ht="19.5" customHeight="1">
      <c r="A8" s="72" t="str">
        <f>IF('入力シート（LED工事用）'!B123="","",'入力シート（LED工事用）'!B123)</f>
        <v/>
      </c>
      <c r="B8" s="72" t="str">
        <f>IF('入力シート（LED工事用）'!C123="","",'入力シート（LED工事用）'!C123)</f>
        <v/>
      </c>
      <c r="C8" s="72" t="str">
        <f>IF('入力シート（LED工事用）'!D123="","",'入力シート（LED工事用）'!D123)</f>
        <v/>
      </c>
      <c r="D8" s="72" t="str">
        <f>IF('入力シート（LED工事用）'!D123="","","台")</f>
        <v/>
      </c>
      <c r="E8" s="73" t="str">
        <f>IF('入力シート（LED工事用）'!G123="","",'入力シート（LED工事用）'!G123)</f>
        <v/>
      </c>
      <c r="F8" s="73" t="str">
        <f>IF('入力シート（LED工事用）'!H123="","",'入力シート（LED工事用）'!H123)</f>
        <v/>
      </c>
      <c r="G8" s="39"/>
    </row>
    <row r="9" spans="1:8" ht="19.5" customHeight="1">
      <c r="A9" s="72" t="str">
        <f>IF('入力シート（LED工事用）'!B124="","",'入力シート（LED工事用）'!B124)</f>
        <v/>
      </c>
      <c r="B9" s="72" t="str">
        <f>IF('入力シート（LED工事用）'!C124="","",'入力シート（LED工事用）'!C124)</f>
        <v/>
      </c>
      <c r="C9" s="72" t="str">
        <f>IF('入力シート（LED工事用）'!D124="","",'入力シート（LED工事用）'!D124)</f>
        <v/>
      </c>
      <c r="D9" s="72" t="str">
        <f>IF('入力シート（LED工事用）'!D124="","","台")</f>
        <v/>
      </c>
      <c r="E9" s="73" t="str">
        <f>IF('入力シート（LED工事用）'!G124="","",'入力シート（LED工事用）'!G124)</f>
        <v/>
      </c>
      <c r="F9" s="73" t="str">
        <f>IF('入力シート（LED工事用）'!H124="","",'入力シート（LED工事用）'!H124)</f>
        <v/>
      </c>
      <c r="G9" s="39"/>
    </row>
    <row r="10" spans="1:8" ht="19.5" customHeight="1">
      <c r="A10" s="72" t="str">
        <f>IF('入力シート（LED工事用）'!B125="","",'入力シート（LED工事用）'!B125)</f>
        <v/>
      </c>
      <c r="B10" s="72" t="str">
        <f>IF('入力シート（LED工事用）'!C125="","",'入力シート（LED工事用）'!C125)</f>
        <v/>
      </c>
      <c r="C10" s="72" t="str">
        <f>IF('入力シート（LED工事用）'!D125="","",'入力シート（LED工事用）'!D125)</f>
        <v/>
      </c>
      <c r="D10" s="72" t="str">
        <f>IF('入力シート（LED工事用）'!D125="","","台")</f>
        <v/>
      </c>
      <c r="E10" s="73" t="str">
        <f>IF('入力シート（LED工事用）'!G125="","",'入力シート（LED工事用）'!G125)</f>
        <v/>
      </c>
      <c r="F10" s="73" t="str">
        <f>IF('入力シート（LED工事用）'!H125="","",'入力シート（LED工事用）'!H125)</f>
        <v/>
      </c>
      <c r="G10" s="39"/>
    </row>
    <row r="11" spans="1:8" ht="19.5" customHeight="1">
      <c r="A11" s="72" t="str">
        <f>IF('入力シート（LED工事用）'!B126="","",'入力シート（LED工事用）'!B126)</f>
        <v/>
      </c>
      <c r="B11" s="72" t="str">
        <f>IF('入力シート（LED工事用）'!C126="","",'入力シート（LED工事用）'!C126)</f>
        <v/>
      </c>
      <c r="C11" s="72" t="str">
        <f>IF('入力シート（LED工事用）'!D126="","",'入力シート（LED工事用）'!D126)</f>
        <v/>
      </c>
      <c r="D11" s="72" t="str">
        <f>IF('入力シート（LED工事用）'!D126="","","台")</f>
        <v/>
      </c>
      <c r="E11" s="73" t="str">
        <f>IF('入力シート（LED工事用）'!G126="","",'入力シート（LED工事用）'!G126)</f>
        <v/>
      </c>
      <c r="F11" s="73" t="str">
        <f>IF('入力シート（LED工事用）'!H126="","",'入力シート（LED工事用）'!H126)</f>
        <v/>
      </c>
      <c r="G11" s="39"/>
    </row>
    <row r="12" spans="1:8" ht="19.5" customHeight="1">
      <c r="A12" s="72" t="str">
        <f>IF('入力シート（LED工事用）'!B127="","",'入力シート（LED工事用）'!B127)</f>
        <v/>
      </c>
      <c r="B12" s="72" t="str">
        <f>IF('入力シート（LED工事用）'!C127="","",'入力シート（LED工事用）'!C127)</f>
        <v/>
      </c>
      <c r="C12" s="72" t="str">
        <f>IF('入力シート（LED工事用）'!D127="","",'入力シート（LED工事用）'!D127)</f>
        <v/>
      </c>
      <c r="D12" s="72" t="str">
        <f>IF('入力シート（LED工事用）'!D127="","","台")</f>
        <v/>
      </c>
      <c r="E12" s="73" t="str">
        <f>IF('入力シート（LED工事用）'!G127="","",'入力シート（LED工事用）'!G127)</f>
        <v/>
      </c>
      <c r="F12" s="73" t="str">
        <f>IF('入力シート（LED工事用）'!H127="","",'入力シート（LED工事用）'!H127)</f>
        <v/>
      </c>
      <c r="G12" s="39"/>
    </row>
    <row r="13" spans="1:8" ht="19.5" customHeight="1">
      <c r="A13" s="72" t="str">
        <f>IF('入力シート（LED工事用）'!B128="","",'入力シート（LED工事用）'!B128)</f>
        <v/>
      </c>
      <c r="B13" s="72" t="str">
        <f>IF('入力シート（LED工事用）'!C128="","",'入力シート（LED工事用）'!C128)</f>
        <v/>
      </c>
      <c r="C13" s="72" t="str">
        <f>IF('入力シート（LED工事用）'!D128="","",'入力シート（LED工事用）'!D128)</f>
        <v/>
      </c>
      <c r="D13" s="72" t="str">
        <f>IF('入力シート（LED工事用）'!D128="","","台")</f>
        <v/>
      </c>
      <c r="E13" s="73" t="str">
        <f>IF('入力シート（LED工事用）'!G128="","",'入力シート（LED工事用）'!G128)</f>
        <v/>
      </c>
      <c r="F13" s="73" t="str">
        <f>IF('入力シート（LED工事用）'!H128="","",'入力シート（LED工事用）'!H128)</f>
        <v/>
      </c>
      <c r="G13" s="39"/>
    </row>
    <row r="14" spans="1:8" ht="19.5" customHeight="1">
      <c r="A14" s="72" t="str">
        <f>IF('入力シート（LED工事用）'!B129="","",'入力シート（LED工事用）'!B129)</f>
        <v/>
      </c>
      <c r="B14" s="72" t="str">
        <f>IF('入力シート（LED工事用）'!C129="","",'入力シート（LED工事用）'!C129)</f>
        <v/>
      </c>
      <c r="C14" s="72" t="str">
        <f>IF('入力シート（LED工事用）'!D129="","",'入力シート（LED工事用）'!D129)</f>
        <v/>
      </c>
      <c r="D14" s="72" t="str">
        <f>IF('入力シート（LED工事用）'!D129="","","台")</f>
        <v/>
      </c>
      <c r="E14" s="73" t="str">
        <f>IF('入力シート（LED工事用）'!G129="","",'入力シート（LED工事用）'!G129)</f>
        <v/>
      </c>
      <c r="F14" s="73" t="str">
        <f>IF('入力シート（LED工事用）'!H129="","",'入力シート（LED工事用）'!H129)</f>
        <v/>
      </c>
      <c r="G14" s="39"/>
    </row>
    <row r="15" spans="1:8" ht="19.5" customHeight="1">
      <c r="A15" s="72" t="str">
        <f>IF('入力シート（LED工事用）'!B130="","",'入力シート（LED工事用）'!B130)</f>
        <v/>
      </c>
      <c r="B15" s="72" t="str">
        <f>IF('入力シート（LED工事用）'!C130="","",'入力シート（LED工事用）'!C130)</f>
        <v/>
      </c>
      <c r="C15" s="72" t="str">
        <f>IF('入力シート（LED工事用）'!D130="","",'入力シート（LED工事用）'!D130)</f>
        <v/>
      </c>
      <c r="D15" s="72" t="str">
        <f>IF('入力シート（LED工事用）'!D130="","","台")</f>
        <v/>
      </c>
      <c r="E15" s="73" t="str">
        <f>IF('入力シート（LED工事用）'!G130="","",'入力シート（LED工事用）'!G130)</f>
        <v/>
      </c>
      <c r="F15" s="73" t="str">
        <f>IF('入力シート（LED工事用）'!H130="","",'入力シート（LED工事用）'!H130)</f>
        <v/>
      </c>
      <c r="G15" s="39"/>
    </row>
    <row r="16" spans="1:8" ht="19.5" customHeight="1">
      <c r="A16" s="72" t="str">
        <f>IF('入力シート（LED工事用）'!B131="","",'入力シート（LED工事用）'!B131)</f>
        <v/>
      </c>
      <c r="B16" s="72" t="str">
        <f>IF('入力シート（LED工事用）'!C131="","",'入力シート（LED工事用）'!C131)</f>
        <v/>
      </c>
      <c r="C16" s="72" t="str">
        <f>IF('入力シート（LED工事用）'!D131="","",'入力シート（LED工事用）'!D131)</f>
        <v/>
      </c>
      <c r="D16" s="72" t="str">
        <f>IF('入力シート（LED工事用）'!D131="","","台")</f>
        <v/>
      </c>
      <c r="E16" s="73" t="str">
        <f>IF('入力シート（LED工事用）'!G131="","",'入力シート（LED工事用）'!G131)</f>
        <v/>
      </c>
      <c r="F16" s="73" t="str">
        <f>IF('入力シート（LED工事用）'!H131="","",'入力シート（LED工事用）'!H131)</f>
        <v/>
      </c>
      <c r="G16" s="39"/>
    </row>
    <row r="17" spans="1:7" ht="19.5" customHeight="1">
      <c r="A17" s="72" t="str">
        <f>IF('入力シート（LED工事用）'!B132="","",'入力シート（LED工事用）'!B132)</f>
        <v/>
      </c>
      <c r="B17" s="72" t="str">
        <f>IF('入力シート（LED工事用）'!C132="","",'入力シート（LED工事用）'!C132)</f>
        <v/>
      </c>
      <c r="C17" s="72" t="str">
        <f>IF('入力シート（LED工事用）'!D132="","",'入力シート（LED工事用）'!D132)</f>
        <v/>
      </c>
      <c r="D17" s="72" t="str">
        <f>IF('入力シート（LED工事用）'!D132="","","台")</f>
        <v/>
      </c>
      <c r="E17" s="73" t="str">
        <f>IF('入力シート（LED工事用）'!G132="","",'入力シート（LED工事用）'!G132)</f>
        <v/>
      </c>
      <c r="F17" s="73" t="str">
        <f>IF('入力シート（LED工事用）'!H132="","",'入力シート（LED工事用）'!H132)</f>
        <v/>
      </c>
      <c r="G17" s="39"/>
    </row>
    <row r="18" spans="1:7" ht="19.5" customHeight="1">
      <c r="A18" s="72" t="str">
        <f>IF('入力シート（LED工事用）'!B133="","",'入力シート（LED工事用）'!B133)</f>
        <v/>
      </c>
      <c r="B18" s="72" t="str">
        <f>IF('入力シート（LED工事用）'!C133="","",'入力シート（LED工事用）'!C133)</f>
        <v/>
      </c>
      <c r="C18" s="72" t="str">
        <f>IF('入力シート（LED工事用）'!D133="","",'入力シート（LED工事用）'!D133)</f>
        <v/>
      </c>
      <c r="D18" s="72" t="str">
        <f>IF('入力シート（LED工事用）'!D133="","","台")</f>
        <v/>
      </c>
      <c r="E18" s="73" t="str">
        <f>IF('入力シート（LED工事用）'!G133="","",'入力シート（LED工事用）'!G133)</f>
        <v/>
      </c>
      <c r="F18" s="73" t="str">
        <f>IF('入力シート（LED工事用）'!H133="","",'入力シート（LED工事用）'!H133)</f>
        <v/>
      </c>
      <c r="G18" s="39"/>
    </row>
    <row r="19" spans="1:7" ht="19.5" customHeight="1">
      <c r="A19" s="72" t="str">
        <f>IF('入力シート（LED工事用）'!B134="","",'入力シート（LED工事用）'!B134)</f>
        <v/>
      </c>
      <c r="B19" s="72" t="str">
        <f>IF('入力シート（LED工事用）'!C134="","",'入力シート（LED工事用）'!C134)</f>
        <v/>
      </c>
      <c r="C19" s="72" t="str">
        <f>IF('入力シート（LED工事用）'!D134="","",'入力シート（LED工事用）'!D134)</f>
        <v/>
      </c>
      <c r="D19" s="72" t="str">
        <f>IF('入力シート（LED工事用）'!D134="","","台")</f>
        <v/>
      </c>
      <c r="E19" s="73" t="str">
        <f>IF('入力シート（LED工事用）'!G134="","",'入力シート（LED工事用）'!G134)</f>
        <v/>
      </c>
      <c r="F19" s="73" t="str">
        <f>IF('入力シート（LED工事用）'!H134="","",'入力シート（LED工事用）'!H134)</f>
        <v/>
      </c>
      <c r="G19" s="39"/>
    </row>
    <row r="20" spans="1:7" ht="20.25" customHeight="1">
      <c r="A20" s="70" t="s">
        <v>100</v>
      </c>
      <c r="B20" s="41"/>
      <c r="C20" s="70">
        <f>SUM(C5:C19)</f>
        <v>0</v>
      </c>
      <c r="D20" s="41"/>
      <c r="E20" s="41"/>
      <c r="F20" s="74">
        <f>SUM(F5:F19)</f>
        <v>0</v>
      </c>
      <c r="G20" s="41"/>
    </row>
    <row r="21" spans="1:7" ht="19.5" customHeight="1"/>
    <row r="22" spans="1:7" ht="21" customHeight="1"/>
    <row r="23" spans="1:7" ht="19.5" customHeight="1"/>
    <row r="24" spans="1:7" ht="21" customHeight="1"/>
    <row r="25" spans="1:7" ht="20.2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20.25" customHeight="1"/>
  </sheetData>
  <mergeCells count="1">
    <mergeCell ref="C3:D3"/>
  </mergeCells>
  <phoneticPr fontId="38"/>
  <pageMargins left="0.59027777777777801" right="0.59027777777777801" top="0.78749999999999998" bottom="0.59027777777777801" header="0.511811023622047" footer="0.511811023622047"/>
  <pageSetup paperSize="9" scale="9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使い方</vt:lpstr>
      <vt:lpstr>入力シート（LED工事用）</vt:lpstr>
      <vt:lpstr>表紙</vt:lpstr>
      <vt:lpstr>内訳明細書</vt:lpstr>
      <vt:lpstr>①材料費　内訳(1)</vt:lpstr>
      <vt:lpstr>①材料費　内訳(2)</vt:lpstr>
      <vt:lpstr>①材料費　内訳(3)</vt:lpstr>
      <vt:lpstr>①材料費　内訳(4)</vt:lpstr>
      <vt:lpstr>①材料費　内訳(5)</vt:lpstr>
      <vt:lpstr>①材料費　内訳(6)</vt:lpstr>
      <vt:lpstr>①材料費　内訳(7)</vt:lpstr>
      <vt:lpstr>①材料費　内訳(8)</vt:lpstr>
      <vt:lpstr>'①材料費　内訳(1)'!Print_Area</vt:lpstr>
      <vt:lpstr>'①材料費　内訳(2)'!Print_Area</vt:lpstr>
      <vt:lpstr>'①材料費　内訳(3)'!Print_Area</vt:lpstr>
      <vt:lpstr>'①材料費　内訳(4)'!Print_Area</vt:lpstr>
      <vt:lpstr>'①材料費　内訳(5)'!Print_Area</vt:lpstr>
      <vt:lpstr>'①材料費　内訳(6)'!Print_Area</vt:lpstr>
      <vt:lpstr>'①材料費　内訳(7)'!Print_Area</vt:lpstr>
      <vt:lpstr>'①材料費　内訳(8)'!Print_Area</vt:lpstr>
      <vt:lpstr>使い方!Print_Area</vt:lpstr>
      <vt:lpstr>内訳明細書!Print_Area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02-4 Ë€ãÑ–3.xlsx</dc:title>
  <dc:creator>Ł: s´(IMACHI Yoshitaka)</dc:creator>
  <cp:lastModifiedBy>上西 祐輝</cp:lastModifiedBy>
  <cp:revision>0</cp:revision>
  <cp:lastPrinted>2026-07-21T02:13:36Z</cp:lastPrinted>
  <dcterms:created xsi:type="dcterms:W3CDTF">2026-06-25T06:54:10Z</dcterms:created>
  <dcterms:modified xsi:type="dcterms:W3CDTF">2026-08-04T08:44:32Z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2026-06-25T00:00:00Z</vt:filetime>
  </property>
  <property fmtid="{D5CDD505-2E9C-101B-9397-08002B2CF9AE}" pid="3" name="LastSaved">
    <vt:filetime>2026-06-25T00:00:00Z</vt:filetime>
  </property>
  <property fmtid="{D5CDD505-2E9C-101B-9397-08002B2CF9AE}" pid="4" name="Producer">
    <vt:lpwstr>Microsoft: Print To PDF</vt:lpwstr>
  </property>
</Properties>
</file>